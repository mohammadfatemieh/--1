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0596" yWindow="288" windowWidth="15168" windowHeight="7908"/>
  </bookViews>
  <sheets>
    <sheet name="Sheet1" sheetId="3" r:id="rId1"/>
    <sheet name="Sheet2" sheetId="4" r:id="rId2"/>
  </sheets>
  <definedNames>
    <definedName name="_xlnm._FilterDatabase" localSheetId="0" hidden="1">Sheet1!$A$1:$V$260</definedName>
    <definedName name="横向当前页">IF(ISNA(MATCH(COLUMN(),GET.DOCUMENT(65))),1,MATCH(COLUMN(),GET.DOCUMENT(65))+1)</definedName>
    <definedName name="总页数">GET.DOCUMENT(50)+RAND()*0</definedName>
    <definedName name="纵向当前页">IF(ISNA(MATCH(ROW(),GET.DOCUMENT(64))),1,MATCH(ROW(),GET.DOCUMENT(64))+1)</definedName>
  </definedNames>
  <calcPr calcId="125725"/>
</workbook>
</file>

<file path=xl/calcChain.xml><?xml version="1.0" encoding="utf-8"?>
<calcChain xmlns="http://schemas.openxmlformats.org/spreadsheetml/2006/main">
  <c r="G233" i="3"/>
  <c r="Q249"/>
  <c r="Q244"/>
  <c r="Q242"/>
  <c r="Q241"/>
  <c r="Q240"/>
  <c r="Q238"/>
  <c r="Q92"/>
  <c r="Q199"/>
  <c r="Q200"/>
  <c r="Q190"/>
  <c r="Q215"/>
  <c r="Q186"/>
  <c r="Q169"/>
  <c r="Q85"/>
  <c r="Q87"/>
  <c r="Q84"/>
  <c r="Q187"/>
  <c r="Q139"/>
  <c r="Q145"/>
  <c r="Q97"/>
  <c r="Q141"/>
  <c r="Q113"/>
  <c r="Q131"/>
  <c r="Q218"/>
  <c r="Q132"/>
  <c r="Q107"/>
  <c r="Q125"/>
  <c r="Q181"/>
  <c r="Q150"/>
  <c r="Q126"/>
  <c r="Q180"/>
  <c r="Q120"/>
  <c r="Q198"/>
  <c r="Q80"/>
  <c r="Q161"/>
  <c r="Q134"/>
  <c r="Q89"/>
  <c r="Q175"/>
  <c r="Q112"/>
  <c r="Q183"/>
  <c r="Q137"/>
  <c r="Q67"/>
  <c r="Q195"/>
  <c r="Q130"/>
  <c r="Q129"/>
  <c r="Q127"/>
  <c r="Q168"/>
  <c r="Q225"/>
  <c r="Q174"/>
  <c r="Q188"/>
  <c r="Q108"/>
  <c r="Q197"/>
  <c r="Q81"/>
  <c r="Q116"/>
  <c r="Q77"/>
  <c r="Q98"/>
  <c r="Q144"/>
  <c r="Q96"/>
  <c r="Q45"/>
  <c r="Q224"/>
  <c r="Q192"/>
  <c r="Q79"/>
  <c r="Q185"/>
  <c r="Q74"/>
  <c r="Q83"/>
  <c r="Q164"/>
  <c r="Q184"/>
  <c r="Q178"/>
  <c r="Q194"/>
  <c r="Q138"/>
  <c r="Q221"/>
  <c r="Q165"/>
  <c r="Q191"/>
  <c r="Q163"/>
  <c r="Q72"/>
  <c r="Q122"/>
  <c r="Q233"/>
  <c r="Q222"/>
  <c r="Q46"/>
  <c r="Q68"/>
  <c r="Q193"/>
  <c r="Q91"/>
  <c r="Q148"/>
  <c r="Q70"/>
  <c r="Q176"/>
  <c r="Q118"/>
  <c r="Q95"/>
  <c r="Q189"/>
  <c r="Q111"/>
  <c r="Q94"/>
  <c r="Q167"/>
  <c r="Q247"/>
  <c r="A211"/>
  <c r="O259"/>
  <c r="A99" l="1"/>
  <c r="Q42"/>
  <c r="Q25"/>
  <c r="Q9"/>
  <c r="Q60"/>
  <c r="Q59"/>
  <c r="Q39"/>
  <c r="Q17"/>
  <c r="Q35"/>
  <c r="Q23"/>
  <c r="Q30"/>
  <c r="Q7"/>
  <c r="Q10"/>
  <c r="Q56"/>
  <c r="Q18"/>
  <c r="Q24"/>
  <c r="Q27"/>
  <c r="Q11"/>
  <c r="Q26"/>
  <c r="Q12"/>
  <c r="Q40"/>
  <c r="Q13"/>
  <c r="Q36"/>
  <c r="Q37"/>
  <c r="Q29"/>
  <c r="Q19"/>
  <c r="Q61"/>
  <c r="Q6"/>
  <c r="Q41"/>
  <c r="Q16"/>
  <c r="Q22"/>
  <c r="Q44"/>
  <c r="Q8"/>
  <c r="A107"/>
  <c r="A55"/>
  <c r="O103"/>
  <c r="A151" l="1"/>
  <c r="A203" s="1"/>
  <c r="A255" s="1"/>
  <c r="A159"/>
  <c r="O155"/>
  <c r="O51"/>
  <c r="O207"/>
  <c r="A4" l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</calcChain>
</file>

<file path=xl/sharedStrings.xml><?xml version="1.0" encoding="utf-8"?>
<sst xmlns="http://schemas.openxmlformats.org/spreadsheetml/2006/main" count="452" uniqueCount="335">
  <si>
    <t>序号</t>
  </si>
  <si>
    <t>幅面</t>
  </si>
  <si>
    <r>
      <t>代</t>
    </r>
    <r>
      <rPr>
        <b/>
        <sz val="10.5"/>
        <rFont val="Times New Roman"/>
        <family val="1"/>
      </rPr>
      <t xml:space="preserve">   </t>
    </r>
    <r>
      <rPr>
        <b/>
        <sz val="10.5"/>
        <rFont val="宋体"/>
        <family val="3"/>
        <charset val="134"/>
      </rPr>
      <t>号</t>
    </r>
  </si>
  <si>
    <r>
      <t>名</t>
    </r>
    <r>
      <rPr>
        <b/>
        <sz val="10.5"/>
        <rFont val="Times New Roman"/>
        <family val="1"/>
      </rPr>
      <t xml:space="preserve">             </t>
    </r>
    <r>
      <rPr>
        <b/>
        <sz val="10.5"/>
        <rFont val="宋体"/>
        <family val="3"/>
        <charset val="134"/>
      </rPr>
      <t>称</t>
    </r>
  </si>
  <si>
    <r>
      <t>装</t>
    </r>
    <r>
      <rPr>
        <b/>
        <sz val="10.5"/>
        <rFont val="Times New Roman"/>
        <family val="1"/>
      </rPr>
      <t xml:space="preserve">            </t>
    </r>
    <r>
      <rPr>
        <b/>
        <sz val="10.5"/>
        <rFont val="宋体"/>
        <family val="3"/>
        <charset val="134"/>
      </rPr>
      <t>入</t>
    </r>
  </si>
  <si>
    <t>总数量</t>
  </si>
  <si>
    <r>
      <t>备</t>
    </r>
    <r>
      <rPr>
        <b/>
        <sz val="10.5"/>
        <rFont val="Times New Roman"/>
        <family val="1"/>
      </rPr>
      <t xml:space="preserve">    </t>
    </r>
    <r>
      <rPr>
        <b/>
        <sz val="10.5"/>
        <rFont val="宋体"/>
        <family val="3"/>
        <charset val="134"/>
      </rPr>
      <t>注</t>
    </r>
  </si>
  <si>
    <t>更改</t>
  </si>
  <si>
    <r>
      <t>代</t>
    </r>
    <r>
      <rPr>
        <sz val="10.5"/>
        <rFont val="Times New Roman"/>
        <family val="1"/>
      </rPr>
      <t xml:space="preserve">     </t>
    </r>
    <r>
      <rPr>
        <sz val="10.5"/>
        <rFont val="宋体"/>
        <family val="3"/>
        <charset val="134"/>
      </rPr>
      <t>号</t>
    </r>
  </si>
  <si>
    <t>数量</t>
  </si>
  <si>
    <t>元器件清单</t>
  </si>
  <si>
    <r>
      <t>拟</t>
    </r>
    <r>
      <rPr>
        <sz val="10.5"/>
        <rFont val="Times New Roman"/>
        <family val="1"/>
      </rPr>
      <t xml:space="preserve"> </t>
    </r>
    <r>
      <rPr>
        <sz val="10.5"/>
        <rFont val="宋体"/>
        <family val="3"/>
        <charset val="134"/>
      </rPr>
      <t>制</t>
    </r>
  </si>
  <si>
    <r>
      <t>审</t>
    </r>
    <r>
      <rPr>
        <sz val="10.5"/>
        <rFont val="Times New Roman"/>
        <family val="1"/>
      </rPr>
      <t xml:space="preserve"> </t>
    </r>
    <r>
      <rPr>
        <sz val="10.5"/>
        <rFont val="宋体"/>
        <family val="3"/>
        <charset val="134"/>
      </rPr>
      <t>核</t>
    </r>
  </si>
  <si>
    <t>标准化</t>
  </si>
  <si>
    <t>更改标记</t>
  </si>
  <si>
    <t>更改单号</t>
    <phoneticPr fontId="14" type="noConversion"/>
  </si>
  <si>
    <t>签名</t>
    <phoneticPr fontId="14" type="noConversion"/>
  </si>
  <si>
    <t>日期</t>
    <phoneticPr fontId="14" type="noConversion"/>
  </si>
  <si>
    <t>批准</t>
    <phoneticPr fontId="14" type="noConversion"/>
  </si>
  <si>
    <r>
      <t>格式</t>
    </r>
    <r>
      <rPr>
        <sz val="10.5"/>
        <rFont val="Times New Roman"/>
        <family val="1"/>
      </rPr>
      <t xml:space="preserve">(5a)                                                                </t>
    </r>
    <r>
      <rPr>
        <sz val="10.5"/>
        <rFont val="宋体"/>
        <family val="3"/>
        <charset val="134"/>
      </rPr>
      <t>描图</t>
    </r>
    <r>
      <rPr>
        <sz val="10.5"/>
        <rFont val="Times New Roman"/>
        <family val="1"/>
      </rPr>
      <t xml:space="preserve">                                                                     </t>
    </r>
    <r>
      <rPr>
        <sz val="10.5"/>
        <rFont val="宋体"/>
        <family val="3"/>
        <charset val="134"/>
      </rPr>
      <t>幅面</t>
    </r>
    <r>
      <rPr>
        <sz val="10.5"/>
        <rFont val="Times New Roman"/>
        <family val="1"/>
      </rPr>
      <t>:1</t>
    </r>
    <phoneticPr fontId="14" type="noConversion"/>
  </si>
  <si>
    <t>标准</t>
    <phoneticPr fontId="14" type="noConversion"/>
  </si>
  <si>
    <t>审核</t>
    <phoneticPr fontId="14" type="noConversion"/>
  </si>
  <si>
    <t>拟制</t>
    <phoneticPr fontId="14" type="noConversion"/>
  </si>
  <si>
    <t>贴片电阻</t>
  </si>
  <si>
    <t>1206</t>
    <phoneticPr fontId="14" type="noConversion"/>
  </si>
  <si>
    <r>
      <t>备</t>
    </r>
    <r>
      <rPr>
        <b/>
        <sz val="10.5"/>
        <rFont val="Times New Roman"/>
        <family val="1"/>
      </rPr>
      <t xml:space="preserve">    </t>
    </r>
    <r>
      <rPr>
        <b/>
        <sz val="10.5"/>
        <rFont val="宋体"/>
        <family val="3"/>
        <charset val="134"/>
      </rPr>
      <t>注</t>
    </r>
    <phoneticPr fontId="14" type="noConversion"/>
  </si>
  <si>
    <t>印制板</t>
    <phoneticPr fontId="3" type="noConversion"/>
  </si>
  <si>
    <t>R-1206-0R-1%</t>
    <phoneticPr fontId="14" type="noConversion"/>
  </si>
  <si>
    <t>R80, R81, R139, R139'</t>
    <phoneticPr fontId="14" type="noConversion"/>
  </si>
  <si>
    <t>R-1206-10R-1%</t>
    <phoneticPr fontId="14" type="noConversion"/>
  </si>
  <si>
    <t>R99, R104</t>
    <phoneticPr fontId="14" type="noConversion"/>
  </si>
  <si>
    <t>R-1206-6R8-1%</t>
    <phoneticPr fontId="14" type="noConversion"/>
  </si>
  <si>
    <t>R70, R71, R79, R124, R133</t>
    <phoneticPr fontId="14" type="noConversion"/>
  </si>
  <si>
    <t>R-1206-20R-1%</t>
    <phoneticPr fontId="14" type="noConversion"/>
  </si>
  <si>
    <t>R108, R109, R111, R112</t>
    <phoneticPr fontId="14" type="noConversion"/>
  </si>
  <si>
    <t>R-1206-68R-1%</t>
    <phoneticPr fontId="14" type="noConversion"/>
  </si>
  <si>
    <t>R94, R96, R103, R107</t>
    <phoneticPr fontId="14" type="noConversion"/>
  </si>
  <si>
    <t>R55, R56, R64, R73, R78</t>
    <phoneticPr fontId="14" type="noConversion"/>
  </si>
  <si>
    <t>R-1206-49R9-1%</t>
    <phoneticPr fontId="14" type="noConversion"/>
  </si>
  <si>
    <t>R-1206-100R-1%</t>
    <phoneticPr fontId="14" type="noConversion"/>
  </si>
  <si>
    <t>R2, R4, R20</t>
    <phoneticPr fontId="14" type="noConversion"/>
  </si>
  <si>
    <t>R-1206-120R-1%</t>
    <phoneticPr fontId="14" type="noConversion"/>
  </si>
  <si>
    <t>R100</t>
    <phoneticPr fontId="14" type="noConversion"/>
  </si>
  <si>
    <t>R-1206-200R-1%</t>
    <phoneticPr fontId="14" type="noConversion"/>
  </si>
  <si>
    <t>R44,R43, R110, R113, R114, R115, R177, R178, R179, R180, R181, R182, R183</t>
    <phoneticPr fontId="14" type="noConversion"/>
  </si>
  <si>
    <t>R-1206-499R-1%</t>
    <phoneticPr fontId="14" type="noConversion"/>
  </si>
  <si>
    <t>R32, R59</t>
    <phoneticPr fontId="14" type="noConversion"/>
  </si>
  <si>
    <t>R-1206-510R-1%</t>
    <phoneticPr fontId="14" type="noConversion"/>
  </si>
  <si>
    <t>R11</t>
    <phoneticPr fontId="14" type="noConversion"/>
  </si>
  <si>
    <t>R-1206-680R-1%</t>
    <phoneticPr fontId="14" type="noConversion"/>
  </si>
  <si>
    <t>R46</t>
    <phoneticPr fontId="14" type="noConversion"/>
  </si>
  <si>
    <t>R-1206-1K-1%</t>
    <phoneticPr fontId="14" type="noConversion"/>
  </si>
  <si>
    <t>R15, R24, R41, R42, R77, R82, R88, R131, R134, R143, R146, R149, R152, R155, R158, R159, R169</t>
    <phoneticPr fontId="14" type="noConversion"/>
  </si>
  <si>
    <t>R-1206-2K-1%</t>
    <phoneticPr fontId="14" type="noConversion"/>
  </si>
  <si>
    <t>R1,R3,R5,R23,R85,R93,R95,R116,R137</t>
    <phoneticPr fontId="14" type="noConversion"/>
  </si>
  <si>
    <t>R-1206-2K2-1%</t>
    <phoneticPr fontId="14" type="noConversion"/>
  </si>
  <si>
    <t>R90, R140</t>
    <phoneticPr fontId="14" type="noConversion"/>
  </si>
  <si>
    <t>R-1206-3K-1%</t>
    <phoneticPr fontId="14" type="noConversion"/>
  </si>
  <si>
    <t>R62</t>
    <phoneticPr fontId="14" type="noConversion"/>
  </si>
  <si>
    <t>R-1206-3K3-1%</t>
    <phoneticPr fontId="14" type="noConversion"/>
  </si>
  <si>
    <t>R6, R8, R14, R16</t>
    <phoneticPr fontId="14" type="noConversion"/>
  </si>
  <si>
    <t>R-1206-3K9-1%</t>
    <phoneticPr fontId="14" type="noConversion"/>
  </si>
  <si>
    <t>R141, R144, R147, R150, R153, R156</t>
    <phoneticPr fontId="14" type="noConversion"/>
  </si>
  <si>
    <t>R-1206-4K7-1%</t>
    <phoneticPr fontId="14" type="noConversion"/>
  </si>
  <si>
    <t>R9,R21,R86,R87,R89,R138,R164, R173,R47</t>
    <phoneticPr fontId="14" type="noConversion"/>
  </si>
  <si>
    <t>R-1206-5K1-1%</t>
    <phoneticPr fontId="14" type="noConversion"/>
  </si>
  <si>
    <t>R52, R57,'R97, R98, R105, R106</t>
    <phoneticPr fontId="14" type="noConversion"/>
  </si>
  <si>
    <t>R-1206-10K-1%</t>
    <phoneticPr fontId="14" type="noConversion"/>
  </si>
  <si>
    <t>R-1206-12K-1%</t>
    <phoneticPr fontId="14" type="noConversion"/>
  </si>
  <si>
    <t>R51</t>
    <phoneticPr fontId="14" type="noConversion"/>
  </si>
  <si>
    <t>R-1206-15K-1%</t>
    <phoneticPr fontId="14" type="noConversion"/>
  </si>
  <si>
    <t>R17</t>
    <phoneticPr fontId="14" type="noConversion"/>
  </si>
  <si>
    <t>R-1206-20K-1%</t>
    <phoneticPr fontId="14" type="noConversion"/>
  </si>
  <si>
    <t>R18, R25, R66, R67, R68, R69, R126, R127, R128, R129</t>
    <phoneticPr fontId="14" type="noConversion"/>
  </si>
  <si>
    <t>R-1206-22K-1%</t>
    <phoneticPr fontId="14" type="noConversion"/>
  </si>
  <si>
    <t>R130</t>
    <phoneticPr fontId="14" type="noConversion"/>
  </si>
  <si>
    <t>R-1206-36K-1%</t>
    <phoneticPr fontId="14" type="noConversion"/>
  </si>
  <si>
    <t>R50</t>
    <phoneticPr fontId="14" type="noConversion"/>
  </si>
  <si>
    <t>R-1206-51K-1%</t>
    <phoneticPr fontId="14" type="noConversion"/>
  </si>
  <si>
    <t>R49</t>
    <phoneticPr fontId="14" type="noConversion"/>
  </si>
  <si>
    <t>R-1206-100K-1%</t>
    <phoneticPr fontId="14" type="noConversion"/>
  </si>
  <si>
    <t>R-1206-1M-1%</t>
    <phoneticPr fontId="14" type="noConversion"/>
  </si>
  <si>
    <t>R30, R84</t>
    <phoneticPr fontId="14" type="noConversion"/>
  </si>
  <si>
    <t>贴片电容</t>
    <phoneticPr fontId="14" type="noConversion"/>
  </si>
  <si>
    <t>1206</t>
    <phoneticPr fontId="14" type="noConversion"/>
  </si>
  <si>
    <t>C-1206-200pF-10%</t>
    <phoneticPr fontId="14" type="noConversion"/>
  </si>
  <si>
    <t>C31, C41, C44, C47, C65, C74, C75, C76, C77, C98, C99, C100, C101, C102, C103, C104</t>
    <phoneticPr fontId="14" type="noConversion"/>
  </si>
  <si>
    <t>C59, C83</t>
    <phoneticPr fontId="14" type="noConversion"/>
  </si>
  <si>
    <t>C-1206-102(1000pF)-11%</t>
    <phoneticPr fontId="14" type="noConversion"/>
  </si>
  <si>
    <t>C-1206-103(0.01uF)-11%</t>
    <phoneticPr fontId="14" type="noConversion"/>
  </si>
  <si>
    <t>C20, C23, C40</t>
    <phoneticPr fontId="14" type="noConversion"/>
  </si>
  <si>
    <t>C-1206-104(0.1uF)-11%</t>
    <phoneticPr fontId="14" type="noConversion"/>
  </si>
  <si>
    <t>贴片钽电容</t>
    <phoneticPr fontId="14" type="noConversion"/>
  </si>
  <si>
    <t>B型</t>
    <phoneticPr fontId="14" type="noConversion"/>
  </si>
  <si>
    <t>B型钽电解100uF-10V-10%(贴片)</t>
    <phoneticPr fontId="3" type="noConversion"/>
  </si>
  <si>
    <t>EC3528</t>
    <phoneticPr fontId="3" type="noConversion"/>
  </si>
  <si>
    <t>B型钽电解10uF-10V-10%(贴片)</t>
    <phoneticPr fontId="3" type="noConversion"/>
  </si>
  <si>
    <t>C2, C4, C97</t>
    <phoneticPr fontId="3" type="noConversion"/>
  </si>
  <si>
    <t>C3,C6,C17,C18,C33,C93,C96</t>
    <phoneticPr fontId="3" type="noConversion"/>
  </si>
  <si>
    <t>C型</t>
    <phoneticPr fontId="14" type="noConversion"/>
  </si>
  <si>
    <t>C型钽电解220uF-16V-10%(贴片)</t>
    <phoneticPr fontId="14" type="noConversion"/>
  </si>
  <si>
    <t>C12,'C48, C49, C52, C95</t>
    <phoneticPr fontId="14" type="noConversion"/>
  </si>
  <si>
    <t>EC6032</t>
    <phoneticPr fontId="3" type="noConversion"/>
  </si>
  <si>
    <t>C1,C5,C7,C94, C11, C13, C15, C16, C22, C24, C25, C26, C28, C29, C32, C35, C36, C37, C38, C39, C42, C43, C45, C57, C58, C64, C66, C67, C68, C69, C70, C71, C72, C73, C80, C84, C86, C88, C91</t>
    <phoneticPr fontId="14" type="noConversion"/>
  </si>
  <si>
    <t>贴片铝电解</t>
    <phoneticPr fontId="14" type="noConversion"/>
  </si>
  <si>
    <t>CD-100uF-50V-20%</t>
    <phoneticPr fontId="14" type="noConversion"/>
  </si>
  <si>
    <t>C27</t>
    <phoneticPr fontId="14" type="noConversion"/>
  </si>
  <si>
    <t>SL-H</t>
    <phoneticPr fontId="14" type="noConversion"/>
  </si>
  <si>
    <t>CBB电容</t>
    <phoneticPr fontId="14" type="noConversion"/>
  </si>
  <si>
    <t>CBB-0.1uF-63V-10%(104)</t>
    <phoneticPr fontId="3" type="noConversion"/>
  </si>
  <si>
    <t>C8, C9, C30, C82, C85</t>
    <phoneticPr fontId="3" type="noConversion"/>
  </si>
  <si>
    <t>插件电解</t>
    <phoneticPr fontId="14" type="noConversion"/>
  </si>
  <si>
    <t>CD-47uF-50V-20%-125℃</t>
    <phoneticPr fontId="3" type="noConversion"/>
  </si>
  <si>
    <t>CD-470uF-50V-20%-125℃</t>
    <phoneticPr fontId="14" type="noConversion"/>
  </si>
  <si>
    <t>C46,C50</t>
    <phoneticPr fontId="14" type="noConversion"/>
  </si>
  <si>
    <t>CD-2200uF-16V-20%-125℃</t>
    <phoneticPr fontId="14" type="noConversion"/>
  </si>
  <si>
    <t>C21, C51</t>
    <phoneticPr fontId="14" type="noConversion"/>
  </si>
  <si>
    <t>CD-10uF-450V-20%-125℃</t>
    <phoneticPr fontId="14" type="noConversion"/>
  </si>
  <si>
    <t>C87, C89, C90, C92</t>
    <phoneticPr fontId="14" type="noConversion"/>
  </si>
  <si>
    <t>高压磁片</t>
    <phoneticPr fontId="14" type="noConversion"/>
  </si>
  <si>
    <t>CY8-0.01uF-3KV-20%(103)</t>
    <phoneticPr fontId="14" type="noConversion"/>
  </si>
  <si>
    <t>CY8-1000pF-3KV-20%(102)</t>
    <phoneticPr fontId="14" type="noConversion"/>
  </si>
  <si>
    <t>C56, C105</t>
    <phoneticPr fontId="14" type="noConversion"/>
  </si>
  <si>
    <t>CY10-150pF-3KV-20%(151)</t>
    <phoneticPr fontId="14" type="noConversion"/>
  </si>
  <si>
    <t>C60, C61</t>
    <phoneticPr fontId="14" type="noConversion"/>
  </si>
  <si>
    <t>贴片二极管</t>
    <phoneticPr fontId="14" type="noConversion"/>
  </si>
  <si>
    <t>M7（贴片1N4007）</t>
    <phoneticPr fontId="3" type="noConversion"/>
  </si>
  <si>
    <t>D7, D33,D19, D26, D27, D28, D29, D32</t>
    <phoneticPr fontId="3" type="noConversion"/>
  </si>
  <si>
    <t>DO214-AC</t>
    <phoneticPr fontId="14" type="noConversion"/>
  </si>
  <si>
    <t>贴片1N4148玻封</t>
    <phoneticPr fontId="3" type="noConversion"/>
  </si>
  <si>
    <t>D4,D8,D12,D17,D34,D35,D36, D37,D38</t>
    <phoneticPr fontId="3" type="noConversion"/>
  </si>
  <si>
    <t>SK34</t>
    <phoneticPr fontId="3" type="noConversion"/>
  </si>
  <si>
    <t>DO-214AA</t>
    <phoneticPr fontId="3" type="noConversion"/>
  </si>
  <si>
    <t>D6, D11, D45</t>
    <phoneticPr fontId="3" type="noConversion"/>
  </si>
  <si>
    <t>ES2D</t>
    <phoneticPr fontId="3" type="noConversion"/>
  </si>
  <si>
    <t>贴片TVS</t>
    <phoneticPr fontId="14" type="noConversion"/>
  </si>
  <si>
    <t>SMC47A</t>
    <phoneticPr fontId="3" type="noConversion"/>
  </si>
  <si>
    <t>DO-214AB</t>
    <phoneticPr fontId="3" type="noConversion"/>
  </si>
  <si>
    <t>SMBJ11CA</t>
    <phoneticPr fontId="3" type="noConversion"/>
  </si>
  <si>
    <t>SMBJ15CA</t>
    <phoneticPr fontId="3" type="noConversion"/>
  </si>
  <si>
    <t>D40, D41, D42, D43</t>
    <phoneticPr fontId="3" type="noConversion"/>
  </si>
  <si>
    <t>SMCJ100CA</t>
    <phoneticPr fontId="3" type="noConversion"/>
  </si>
  <si>
    <t>D13,D20,D21,D22,D23,D24,D25</t>
    <phoneticPr fontId="3" type="noConversion"/>
  </si>
  <si>
    <t>D39</t>
    <phoneticPr fontId="3" type="noConversion"/>
  </si>
  <si>
    <t>VD3,VD17, VD18</t>
    <phoneticPr fontId="3" type="noConversion"/>
  </si>
  <si>
    <t>SMCJ40CA</t>
    <phoneticPr fontId="14" type="noConversion"/>
  </si>
  <si>
    <t>VD4, VD25</t>
    <phoneticPr fontId="14" type="noConversion"/>
  </si>
  <si>
    <t>SMCJ350CA</t>
    <phoneticPr fontId="14" type="noConversion"/>
  </si>
  <si>
    <t>VD24, VD27</t>
    <phoneticPr fontId="14" type="noConversion"/>
  </si>
  <si>
    <t>SMBJ6.8CA</t>
    <phoneticPr fontId="14" type="noConversion"/>
  </si>
  <si>
    <t>D9, D10</t>
    <phoneticPr fontId="14" type="noConversion"/>
  </si>
  <si>
    <t>DO-214AC</t>
    <phoneticPr fontId="14" type="noConversion"/>
  </si>
  <si>
    <t>R-2512-1R-1%</t>
    <phoneticPr fontId="14" type="noConversion"/>
  </si>
  <si>
    <t>R-2512-300R-1%</t>
    <phoneticPr fontId="14" type="noConversion"/>
  </si>
  <si>
    <t>R29</t>
    <phoneticPr fontId="14" type="noConversion"/>
  </si>
  <si>
    <t>贴片稳压管</t>
    <phoneticPr fontId="14" type="noConversion"/>
  </si>
  <si>
    <t>SMAZ5V1(贴片5.1V稳压管)</t>
    <phoneticPr fontId="14" type="noConversion"/>
  </si>
  <si>
    <t>VD28</t>
    <phoneticPr fontId="14" type="noConversion"/>
  </si>
  <si>
    <t>1SMA4750</t>
    <phoneticPr fontId="14" type="noConversion"/>
  </si>
  <si>
    <t>VD23, VD26</t>
    <phoneticPr fontId="14" type="noConversion"/>
  </si>
  <si>
    <t>BZX84C4V7</t>
    <phoneticPr fontId="14" type="noConversion"/>
  </si>
  <si>
    <t>VD5, VD6, VD7, VD8, VD9, VD10, VD11, VD12, VD13, VD14, VD15, VD16, VD19, VD20, VD21, VD22</t>
    <phoneticPr fontId="14" type="noConversion"/>
  </si>
  <si>
    <t>SOT-23</t>
    <phoneticPr fontId="14" type="noConversion"/>
  </si>
  <si>
    <t>BZX84C20</t>
    <phoneticPr fontId="14" type="noConversion"/>
  </si>
  <si>
    <t>VD1, VD2</t>
    <phoneticPr fontId="14" type="noConversion"/>
  </si>
  <si>
    <t>贴片扁桥</t>
    <phoneticPr fontId="14" type="noConversion"/>
  </si>
  <si>
    <t>MB10S</t>
    <phoneticPr fontId="14" type="noConversion"/>
  </si>
  <si>
    <t>TO-269AA</t>
    <phoneticPr fontId="14" type="noConversion"/>
  </si>
  <si>
    <t>D30, D31</t>
    <phoneticPr fontId="14" type="noConversion"/>
  </si>
  <si>
    <t>贴片光耦</t>
    <phoneticPr fontId="14" type="noConversion"/>
  </si>
  <si>
    <t>PS2801-1</t>
    <phoneticPr fontId="14" type="noConversion"/>
  </si>
  <si>
    <t xml:space="preserve">SO-4
</t>
    <phoneticPr fontId="14" type="noConversion"/>
  </si>
  <si>
    <t>DA1, DA2, DA3, DA10, DA16, DA21, DA22, U21</t>
    <phoneticPr fontId="14" type="noConversion"/>
  </si>
  <si>
    <t>DA4, DA5, DA6, DA11, DA12, DA13</t>
    <phoneticPr fontId="14" type="noConversion"/>
  </si>
  <si>
    <t>插件光耦</t>
    <phoneticPr fontId="14" type="noConversion"/>
  </si>
  <si>
    <t>TLP620</t>
    <phoneticPr fontId="14" type="noConversion"/>
  </si>
  <si>
    <t>DA7, DA8, DA14</t>
    <phoneticPr fontId="14" type="noConversion"/>
  </si>
  <si>
    <t>PC817</t>
    <phoneticPr fontId="14" type="noConversion"/>
  </si>
  <si>
    <t>DA9, DA20</t>
    <phoneticPr fontId="14" type="noConversion"/>
  </si>
  <si>
    <t>HCNR200</t>
    <phoneticPr fontId="14" type="noConversion"/>
  </si>
  <si>
    <t>NG3</t>
    <phoneticPr fontId="14" type="noConversion"/>
  </si>
  <si>
    <t>贴片三极管</t>
    <phoneticPr fontId="14" type="noConversion"/>
  </si>
  <si>
    <t>LMUNJ2232LT1G</t>
    <phoneticPr fontId="14" type="noConversion"/>
  </si>
  <si>
    <t>D1, Q10,Q4,Q9</t>
    <phoneticPr fontId="14" type="noConversion"/>
  </si>
  <si>
    <t>BC817-25(6BW)</t>
    <phoneticPr fontId="14" type="noConversion"/>
  </si>
  <si>
    <t>Q2, Q5, Q7, Q8</t>
    <phoneticPr fontId="14" type="noConversion"/>
  </si>
  <si>
    <t>BC817-40(6CW)</t>
    <phoneticPr fontId="14" type="noConversion"/>
  </si>
  <si>
    <t>Q14, Q15</t>
    <phoneticPr fontId="14" type="noConversion"/>
  </si>
  <si>
    <t>贴片2N5551</t>
    <phoneticPr fontId="3" type="noConversion"/>
  </si>
  <si>
    <t>Q11, Q12, Q13</t>
    <phoneticPr fontId="3" type="noConversion"/>
  </si>
  <si>
    <r>
      <t>S</t>
    </r>
    <r>
      <rPr>
        <sz val="10.5"/>
        <rFont val="宋体"/>
        <family val="3"/>
        <charset val="134"/>
      </rPr>
      <t>OT-23</t>
    </r>
    <phoneticPr fontId="3" type="noConversion"/>
  </si>
  <si>
    <t>贴片TL431（TAI3）</t>
    <phoneticPr fontId="3" type="noConversion"/>
  </si>
  <si>
    <t>稳压基准</t>
    <phoneticPr fontId="14" type="noConversion"/>
  </si>
  <si>
    <t>TL1, TL2</t>
    <phoneticPr fontId="3" type="noConversion"/>
  </si>
  <si>
    <t>功率电阻</t>
    <phoneticPr fontId="14" type="noConversion"/>
  </si>
  <si>
    <t>5%</t>
    <phoneticPr fontId="3" type="noConversion"/>
  </si>
  <si>
    <t>RJ-3W-24K-5%</t>
    <phoneticPr fontId="3" type="noConversion"/>
  </si>
  <si>
    <t>R33, R34, R76</t>
    <phoneticPr fontId="3" type="noConversion"/>
  </si>
  <si>
    <t>RJ-3W-220K-5%</t>
    <phoneticPr fontId="3" type="noConversion"/>
  </si>
  <si>
    <t>R117, R118, R119, R120</t>
    <phoneticPr fontId="3" type="noConversion"/>
  </si>
  <si>
    <t>RJ-1W-100K-5%</t>
    <phoneticPr fontId="3" type="noConversion"/>
  </si>
  <si>
    <t>R101, R102</t>
    <phoneticPr fontId="3" type="noConversion"/>
  </si>
  <si>
    <t>碳芯电阻</t>
    <phoneticPr fontId="14" type="noConversion"/>
  </si>
  <si>
    <t>RT-0.5W-2K2-5%</t>
    <phoneticPr fontId="14" type="noConversion"/>
  </si>
  <si>
    <t>R142, R145, R148, R151, R154, R157, R160, R167</t>
    <phoneticPr fontId="14" type="noConversion"/>
  </si>
  <si>
    <t>压敏电阻</t>
    <phoneticPr fontId="14" type="noConversion"/>
  </si>
  <si>
    <t>10D681</t>
    <phoneticPr fontId="14" type="noConversion"/>
  </si>
  <si>
    <t>RV1, RV3</t>
    <phoneticPr fontId="3" type="noConversion"/>
  </si>
  <si>
    <t>20D821</t>
    <phoneticPr fontId="14" type="noConversion"/>
  </si>
  <si>
    <t>RV2</t>
    <phoneticPr fontId="14" type="noConversion"/>
  </si>
  <si>
    <t>芯片</t>
    <phoneticPr fontId="14" type="noConversion"/>
  </si>
  <si>
    <r>
      <t>S</t>
    </r>
    <r>
      <rPr>
        <sz val="10.5"/>
        <rFont val="宋体"/>
        <family val="3"/>
        <charset val="134"/>
      </rPr>
      <t>O8</t>
    </r>
    <phoneticPr fontId="14" type="noConversion"/>
  </si>
  <si>
    <t>ICL7660AIBAZA-T</t>
    <phoneticPr fontId="14" type="noConversion"/>
  </si>
  <si>
    <t>U13</t>
    <phoneticPr fontId="14" type="noConversion"/>
  </si>
  <si>
    <t>MAX3232ESE</t>
    <phoneticPr fontId="14" type="noConversion"/>
  </si>
  <si>
    <t>U11</t>
    <phoneticPr fontId="14" type="noConversion"/>
  </si>
  <si>
    <t>ADUM1201ARZ-RL7</t>
    <phoneticPr fontId="14" type="noConversion"/>
  </si>
  <si>
    <t>U20,U7,U8</t>
    <phoneticPr fontId="14" type="noConversion"/>
  </si>
  <si>
    <t>EL5172ISZ-T7</t>
    <phoneticPr fontId="14" type="noConversion"/>
  </si>
  <si>
    <t>U9</t>
    <phoneticPr fontId="14" type="noConversion"/>
  </si>
  <si>
    <t>ICE3AS03LJG</t>
    <phoneticPr fontId="14" type="noConversion"/>
  </si>
  <si>
    <t>U6, U10</t>
    <phoneticPr fontId="14" type="noConversion"/>
  </si>
  <si>
    <t>AMC1200SDUBR</t>
    <phoneticPr fontId="14" type="noConversion"/>
  </si>
  <si>
    <t>U5</t>
    <phoneticPr fontId="14" type="noConversion"/>
  </si>
  <si>
    <t>SN75176AD</t>
    <phoneticPr fontId="14" type="noConversion"/>
  </si>
  <si>
    <t>U4</t>
    <phoneticPr fontId="14" type="noConversion"/>
  </si>
  <si>
    <t>电源芯片</t>
    <phoneticPr fontId="14" type="noConversion"/>
  </si>
  <si>
    <t>SPX29302</t>
    <phoneticPr fontId="14" type="noConversion"/>
  </si>
  <si>
    <t>U1</t>
    <phoneticPr fontId="14" type="noConversion"/>
  </si>
  <si>
    <t>LM2596-5.0</t>
    <phoneticPr fontId="14" type="noConversion"/>
  </si>
  <si>
    <t>U3</t>
    <phoneticPr fontId="14" type="noConversion"/>
  </si>
  <si>
    <t>LM1117IMPX-3.3V</t>
    <phoneticPr fontId="14" type="noConversion"/>
  </si>
  <si>
    <t>U2</t>
    <phoneticPr fontId="14" type="noConversion"/>
  </si>
  <si>
    <t>DCDC</t>
    <phoneticPr fontId="14" type="noConversion"/>
  </si>
  <si>
    <t>DC5S5/200</t>
    <phoneticPr fontId="14" type="noConversion"/>
  </si>
  <si>
    <t>DCT2</t>
    <phoneticPr fontId="14" type="noConversion"/>
  </si>
  <si>
    <t>MCP6032(SOIC)</t>
    <phoneticPr fontId="3" type="noConversion"/>
  </si>
  <si>
    <t>N4, U17</t>
    <phoneticPr fontId="3" type="noConversion"/>
  </si>
  <si>
    <t>SO8</t>
    <phoneticPr fontId="3" type="noConversion"/>
  </si>
  <si>
    <t>MOS管</t>
    <phoneticPr fontId="14" type="noConversion"/>
  </si>
  <si>
    <t>IRF640</t>
    <phoneticPr fontId="14" type="noConversion"/>
  </si>
  <si>
    <t>Q1,Q3,Q6</t>
    <phoneticPr fontId="14" type="noConversion"/>
  </si>
  <si>
    <t>VA1</t>
    <phoneticPr fontId="14" type="noConversion"/>
  </si>
  <si>
    <t>IRF9530</t>
    <phoneticPr fontId="14" type="noConversion"/>
  </si>
  <si>
    <t>IRF5210</t>
    <phoneticPr fontId="14" type="noConversion"/>
  </si>
  <si>
    <t>D3</t>
    <phoneticPr fontId="14" type="noConversion"/>
  </si>
  <si>
    <t>CT</t>
    <phoneticPr fontId="14" type="noConversion"/>
  </si>
  <si>
    <t>ZMCT101B</t>
    <phoneticPr fontId="14" type="noConversion"/>
  </si>
  <si>
    <t>CTA, CTB, CTC,'CT0</t>
    <phoneticPr fontId="14" type="noConversion"/>
  </si>
  <si>
    <t>PT</t>
    <phoneticPr fontId="14" type="noConversion"/>
  </si>
  <si>
    <t>ZMPT101B</t>
    <phoneticPr fontId="14" type="noConversion"/>
  </si>
  <si>
    <t>ZMPT107</t>
    <phoneticPr fontId="14" type="noConversion"/>
  </si>
  <si>
    <t>PTA, PTC</t>
    <phoneticPr fontId="14" type="noConversion"/>
  </si>
  <si>
    <t>接插件</t>
    <phoneticPr fontId="14" type="noConversion"/>
  </si>
  <si>
    <t>IDC10简易牛角座</t>
    <phoneticPr fontId="3" type="noConversion"/>
  </si>
  <si>
    <t>CN1,CN2</t>
    <phoneticPr fontId="3" type="noConversion"/>
  </si>
  <si>
    <t>5569_4.2_2P直脚</t>
    <phoneticPr fontId="3" type="noConversion"/>
  </si>
  <si>
    <t>COX2, JX1</t>
    <phoneticPr fontId="3" type="noConversion"/>
  </si>
  <si>
    <t>J1</t>
    <phoneticPr fontId="3" type="noConversion"/>
  </si>
  <si>
    <t>J2</t>
    <phoneticPr fontId="3" type="noConversion"/>
  </si>
  <si>
    <t>2.54_24x2双排针座子(孔)</t>
    <phoneticPr fontId="3" type="noConversion"/>
  </si>
  <si>
    <t>2.54_18x2双排针座子（孔）</t>
    <phoneticPr fontId="3" type="noConversion"/>
  </si>
  <si>
    <t>5569_4.2_3x2P直脚</t>
    <phoneticPr fontId="3" type="noConversion"/>
  </si>
  <si>
    <t>J3</t>
    <phoneticPr fontId="3" type="noConversion"/>
  </si>
  <si>
    <t>2.54_8x2双排针座子（孔）</t>
    <phoneticPr fontId="3" type="noConversion"/>
  </si>
  <si>
    <t>J5</t>
    <phoneticPr fontId="3" type="noConversion"/>
  </si>
  <si>
    <t xml:space="preserve">2EDG_8P封口弯脚 </t>
    <phoneticPr fontId="3" type="noConversion"/>
  </si>
  <si>
    <t>J7</t>
    <phoneticPr fontId="3" type="noConversion"/>
  </si>
  <si>
    <t xml:space="preserve">2EDG_15P封口弯脚 </t>
    <phoneticPr fontId="3" type="noConversion"/>
  </si>
  <si>
    <t>J9</t>
    <phoneticPr fontId="3" type="noConversion"/>
  </si>
  <si>
    <t xml:space="preserve">2EDG_10P封口弯脚 </t>
    <phoneticPr fontId="3" type="noConversion"/>
  </si>
  <si>
    <t>J11</t>
    <phoneticPr fontId="3" type="noConversion"/>
  </si>
  <si>
    <t xml:space="preserve">2EDG_12P封口弯脚 </t>
    <phoneticPr fontId="3" type="noConversion"/>
  </si>
  <si>
    <t>J4</t>
    <phoneticPr fontId="3" type="noConversion"/>
  </si>
  <si>
    <t xml:space="preserve">2EDG_4P封口弯脚 </t>
    <phoneticPr fontId="3" type="noConversion"/>
  </si>
  <si>
    <t>P1</t>
    <phoneticPr fontId="3" type="noConversion"/>
  </si>
  <si>
    <t>HB9500-8P</t>
    <phoneticPr fontId="3" type="noConversion"/>
  </si>
  <si>
    <t>XH_2.54_2P</t>
    <phoneticPr fontId="3" type="noConversion"/>
  </si>
  <si>
    <t>TX</t>
    <phoneticPr fontId="3" type="noConversion"/>
  </si>
  <si>
    <t>电池座</t>
    <phoneticPr fontId="3" type="noConversion"/>
  </si>
  <si>
    <t>CR2032卧式电池座</t>
    <phoneticPr fontId="3" type="noConversion"/>
  </si>
  <si>
    <t>BT1</t>
    <phoneticPr fontId="3" type="noConversion"/>
  </si>
  <si>
    <t>继电器</t>
    <phoneticPr fontId="14" type="noConversion"/>
  </si>
  <si>
    <t>K1, K2</t>
    <phoneticPr fontId="3" type="noConversion"/>
  </si>
  <si>
    <t>HF115F012-1ZS1</t>
    <phoneticPr fontId="3" type="noConversion"/>
  </si>
  <si>
    <t>953-1A-12DG-1(12V)</t>
    <phoneticPr fontId="3" type="noConversion"/>
  </si>
  <si>
    <t>K3,K4</t>
    <phoneticPr fontId="3" type="noConversion"/>
  </si>
  <si>
    <t>DSP1-L2-DC24V-F</t>
    <phoneticPr fontId="14" type="noConversion"/>
  </si>
  <si>
    <t>K5, K6</t>
    <phoneticPr fontId="14" type="noConversion"/>
  </si>
  <si>
    <t>遥控接收</t>
    <phoneticPr fontId="3" type="noConversion"/>
  </si>
  <si>
    <t>GDRX-2272A</t>
    <phoneticPr fontId="3" type="noConversion"/>
  </si>
  <si>
    <t>U12</t>
    <phoneticPr fontId="3" type="noConversion"/>
  </si>
  <si>
    <t>电感</t>
    <phoneticPr fontId="3" type="noConversion"/>
  </si>
  <si>
    <t>贴片电感68uH-1A(7X7)</t>
    <phoneticPr fontId="3" type="noConversion"/>
  </si>
  <si>
    <t>L2, L5</t>
    <phoneticPr fontId="3" type="noConversion"/>
  </si>
  <si>
    <t>贴片LED</t>
    <phoneticPr fontId="3" type="noConversion"/>
  </si>
  <si>
    <t>LED-1206-红</t>
    <phoneticPr fontId="3" type="noConversion"/>
  </si>
  <si>
    <t>LED1</t>
    <phoneticPr fontId="3" type="noConversion"/>
  </si>
  <si>
    <t>变压器</t>
    <phoneticPr fontId="14" type="noConversion"/>
  </si>
  <si>
    <t>T1</t>
    <phoneticPr fontId="14" type="noConversion"/>
  </si>
  <si>
    <t>定制</t>
    <phoneticPr fontId="14" type="noConversion"/>
  </si>
  <si>
    <t>散热器</t>
    <phoneticPr fontId="3" type="noConversion"/>
  </si>
  <si>
    <t>050-30</t>
    <phoneticPr fontId="3" type="noConversion"/>
  </si>
  <si>
    <t>安装在D3上</t>
    <phoneticPr fontId="3" type="noConversion"/>
  </si>
  <si>
    <t>导线</t>
    <phoneticPr fontId="3" type="noConversion"/>
  </si>
  <si>
    <t>CTA,CTB,CTC,CT0</t>
    <phoneticPr fontId="3" type="noConversion"/>
  </si>
  <si>
    <t>1平方导线，长度120mm</t>
    <phoneticPr fontId="3" type="noConversion"/>
  </si>
  <si>
    <t>分别连接标记E+和E+,E-和E-</t>
    <phoneticPr fontId="3" type="noConversion"/>
  </si>
  <si>
    <t>GB-RV1.5平方铜线黑(150mm)</t>
    <phoneticPr fontId="3" type="noConversion"/>
  </si>
  <si>
    <t>PS2501-1</t>
    <phoneticPr fontId="14" type="noConversion"/>
  </si>
  <si>
    <t>R13, R26, R27,  R161, R162, R165, R168, R170, R171</t>
    <phoneticPr fontId="14" type="noConversion"/>
  </si>
  <si>
    <t>R7, R10, R22, R28, R31, R35, R36, R37, R38, R39, R40, R45, R48, R53,R54, R58, R60, R61, R63, R65, R72, R74, R75, R83, R136, R163, R166, R172, R174, R175, R176</t>
    <phoneticPr fontId="14" type="noConversion"/>
  </si>
  <si>
    <t>BK-19-CDF8-27V</t>
    <phoneticPr fontId="14" type="noConversion"/>
  </si>
  <si>
    <t>BK-28-CDF8-6V</t>
    <phoneticPr fontId="14" type="noConversion"/>
  </si>
  <si>
    <t>1平方导线，长度45mm</t>
    <phoneticPr fontId="3" type="noConversion"/>
  </si>
  <si>
    <t>分别连接标记C和C,D和D</t>
    <phoneticPr fontId="3" type="noConversion"/>
  </si>
  <si>
    <t>T2(引出的黑线焊板上B,白焊A)</t>
    <phoneticPr fontId="14" type="noConversion"/>
  </si>
  <si>
    <t>C10,'C14, C19, C34, C53, C55, C63, C78, C79, C81</t>
    <phoneticPr fontId="3" type="noConversion"/>
  </si>
  <si>
    <t>D2,D5,D14,D15,D16,D18,D44,D46</t>
    <phoneticPr fontId="3" type="noConversion"/>
  </si>
  <si>
    <t>C54, C62, C106</t>
    <phoneticPr fontId="14" type="noConversion"/>
  </si>
  <si>
    <t>J10(镀锡将4脚、6脚和边上的露铜短接)</t>
    <phoneticPr fontId="3" type="noConversion"/>
  </si>
  <si>
    <t>选焊</t>
    <phoneticPr fontId="14" type="noConversion"/>
  </si>
  <si>
    <t>R19</t>
    <phoneticPr fontId="14" type="noConversion"/>
  </si>
  <si>
    <t>贴片电阻</t>
    <phoneticPr fontId="14" type="noConversion"/>
  </si>
  <si>
    <r>
      <rPr>
        <sz val="10"/>
        <rFont val="宋体"/>
        <family val="3"/>
        <charset val="134"/>
      </rPr>
      <t>芯片</t>
    </r>
    <r>
      <rPr>
        <sz val="10"/>
        <rFont val="Arial"/>
        <family val="2"/>
      </rPr>
      <t xml:space="preserve"> </t>
    </r>
    <phoneticPr fontId="14" type="noConversion"/>
  </si>
  <si>
    <t>PT</t>
    <phoneticPr fontId="14" type="noConversion"/>
  </si>
  <si>
    <t>PT0</t>
    <phoneticPr fontId="14" type="noConversion"/>
  </si>
  <si>
    <t>PTB</t>
    <phoneticPr fontId="14" type="noConversion"/>
  </si>
  <si>
    <t>共模电感</t>
    <phoneticPr fontId="14" type="noConversion"/>
  </si>
  <si>
    <t>L4</t>
    <phoneticPr fontId="14" type="noConversion"/>
  </si>
  <si>
    <t>电子式零序PT</t>
    <phoneticPr fontId="14" type="noConversion"/>
  </si>
  <si>
    <t>电磁式零序PT</t>
    <phoneticPr fontId="14" type="noConversion"/>
  </si>
  <si>
    <t>直径22mm,1.5mH(CML1.5mH)</t>
    <phoneticPr fontId="14" type="noConversion"/>
  </si>
  <si>
    <t>GAN7.820.5607-2清单</t>
    <phoneticPr fontId="14" type="noConversion"/>
  </si>
  <si>
    <t>R12</t>
    <phoneticPr fontId="14" type="noConversion"/>
  </si>
</sst>
</file>

<file path=xl/styles.xml><?xml version="1.0" encoding="utf-8"?>
<styleSheet xmlns="http://schemas.openxmlformats.org/spreadsheetml/2006/main">
  <fonts count="27"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9"/>
      <name val="宋体"/>
      <family val="3"/>
      <charset val="134"/>
    </font>
    <font>
      <sz val="10.5"/>
      <name val="Times New Roman"/>
      <family val="1"/>
    </font>
    <font>
      <b/>
      <sz val="10.5"/>
      <name val="Times New Roman"/>
      <family val="1"/>
    </font>
    <font>
      <b/>
      <sz val="10.5"/>
      <name val="宋体"/>
      <family val="3"/>
      <charset val="134"/>
    </font>
    <font>
      <sz val="10.5"/>
      <name val="宋体"/>
      <family val="3"/>
      <charset val="134"/>
    </font>
    <font>
      <sz val="9"/>
      <name val="Times New Roman"/>
      <family val="1"/>
    </font>
    <font>
      <b/>
      <u/>
      <sz val="10.5"/>
      <name val="宋体"/>
      <family val="3"/>
      <charset val="134"/>
    </font>
    <font>
      <b/>
      <sz val="9"/>
      <name val="宋体"/>
      <family val="3"/>
      <charset val="134"/>
    </font>
    <font>
      <b/>
      <sz val="7.5"/>
      <name val="Times New Roman"/>
      <family val="1"/>
    </font>
    <font>
      <sz val="7.5"/>
      <name val="宋体"/>
      <family val="3"/>
      <charset val="134"/>
    </font>
    <font>
      <b/>
      <sz val="28"/>
      <name val="宋体"/>
      <family val="3"/>
      <charset val="134"/>
    </font>
    <font>
      <sz val="9"/>
      <name val="宋体"/>
      <family val="3"/>
      <charset val="134"/>
    </font>
    <font>
      <sz val="10.5"/>
      <name val="宋体"/>
      <family val="3"/>
      <charset val="134"/>
    </font>
    <font>
      <sz val="9"/>
      <name val="Arial"/>
      <family val="2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b/>
      <sz val="8"/>
      <name val="宋体"/>
      <family val="3"/>
      <charset val="134"/>
    </font>
    <font>
      <b/>
      <sz val="9"/>
      <name val="Times New Roman"/>
      <family val="1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0"/>
      <name val="Arial"/>
      <family val="2"/>
    </font>
    <font>
      <b/>
      <sz val="6"/>
      <name val="宋体"/>
      <family val="3"/>
      <charset val="134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 applyNumberFormat="0" applyFill="0" applyBorder="0" applyAlignment="0" applyProtection="0">
      <alignment vertical="top"/>
      <protection locked="0"/>
    </xf>
  </cellStyleXfs>
  <cellXfs count="292">
    <xf numFmtId="0" fontId="0" fillId="0" borderId="0" xfId="0"/>
    <xf numFmtId="0" fontId="0" fillId="0" borderId="0" xfId="0" applyProtection="1">
      <protection locked="0"/>
    </xf>
    <xf numFmtId="0" fontId="7" fillId="0" borderId="9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Continuous" vertical="center" wrapText="1"/>
      <protection locked="0"/>
    </xf>
    <xf numFmtId="0" fontId="13" fillId="0" borderId="3" xfId="0" applyFont="1" applyBorder="1" applyAlignment="1" applyProtection="1">
      <alignment horizontal="centerContinuous" vertical="center" wrapText="1"/>
      <protection locked="0"/>
    </xf>
    <xf numFmtId="0" fontId="14" fillId="0" borderId="11" xfId="0" applyFont="1" applyBorder="1" applyAlignment="1" applyProtection="1">
      <alignment horizontal="centerContinuous" vertical="center" wrapText="1"/>
      <protection locked="0"/>
    </xf>
    <xf numFmtId="0" fontId="3" fillId="0" borderId="9" xfId="0" applyFont="1" applyBorder="1" applyAlignment="1" applyProtection="1">
      <alignment horizontal="centerContinuous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justify"/>
      <protection locked="0"/>
    </xf>
    <xf numFmtId="0" fontId="0" fillId="0" borderId="0" xfId="0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justify" wrapText="1"/>
      <protection locked="0"/>
    </xf>
    <xf numFmtId="0" fontId="7" fillId="0" borderId="17" xfId="0" applyFont="1" applyBorder="1" applyAlignment="1" applyProtection="1">
      <alignment horizontal="center" wrapText="1"/>
      <protection locked="0"/>
    </xf>
    <xf numFmtId="0" fontId="9" fillId="0" borderId="16" xfId="0" applyFont="1" applyBorder="1" applyAlignment="1" applyProtection="1">
      <alignment horizontal="centerContinuous" vertical="center" wrapText="1"/>
      <protection locked="0"/>
    </xf>
    <xf numFmtId="0" fontId="9" fillId="0" borderId="18" xfId="0" applyFont="1" applyBorder="1" applyAlignment="1" applyProtection="1">
      <alignment horizontal="centerContinuous" vertical="center" wrapText="1"/>
      <protection locked="0"/>
    </xf>
    <xf numFmtId="0" fontId="9" fillId="0" borderId="17" xfId="0" applyFont="1" applyBorder="1" applyAlignment="1" applyProtection="1">
      <alignment horizontal="centerContinuous" vertical="center" wrapText="1"/>
      <protection locked="0"/>
    </xf>
    <xf numFmtId="0" fontId="7" fillId="0" borderId="19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30" xfId="0" applyFont="1" applyBorder="1" applyAlignment="1" applyProtection="1">
      <alignment horizontal="center" wrapText="1"/>
      <protection locked="0"/>
    </xf>
    <xf numFmtId="0" fontId="11" fillId="0" borderId="15" xfId="0" applyFont="1" applyBorder="1" applyAlignment="1" applyProtection="1">
      <alignment horizontal="justify" wrapText="1"/>
      <protection locked="0"/>
    </xf>
    <xf numFmtId="0" fontId="11" fillId="0" borderId="18" xfId="0" applyFont="1" applyBorder="1" applyAlignment="1" applyProtection="1">
      <alignment horizontal="justify" wrapText="1"/>
      <protection locked="0"/>
    </xf>
    <xf numFmtId="0" fontId="7" fillId="0" borderId="18" xfId="0" applyFont="1" applyBorder="1" applyAlignment="1" applyProtection="1">
      <alignment horizontal="center" wrapText="1"/>
      <protection locked="0"/>
    </xf>
    <xf numFmtId="0" fontId="17" fillId="0" borderId="15" xfId="0" applyFont="1" applyBorder="1" applyAlignment="1" applyProtection="1">
      <alignment horizontal="center" wrapText="1"/>
      <protection locked="0"/>
    </xf>
    <xf numFmtId="0" fontId="11" fillId="0" borderId="19" xfId="0" applyFont="1" applyBorder="1" applyAlignment="1" applyProtection="1">
      <alignment horizontal="justify" wrapText="1"/>
      <protection locked="0"/>
    </xf>
    <xf numFmtId="0" fontId="11" fillId="0" borderId="22" xfId="0" applyFont="1" applyBorder="1" applyAlignment="1" applyProtection="1">
      <alignment horizontal="justify" wrapText="1"/>
      <protection locked="0"/>
    </xf>
    <xf numFmtId="0" fontId="7" fillId="0" borderId="22" xfId="0" applyFont="1" applyBorder="1" applyAlignment="1" applyProtection="1">
      <alignment horizontal="center" wrapText="1"/>
      <protection locked="0"/>
    </xf>
    <xf numFmtId="0" fontId="17" fillId="0" borderId="19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3" fillId="0" borderId="2" xfId="0" applyFont="1" applyBorder="1" applyAlignment="1" applyProtection="1">
      <alignment horizontal="centerContinuous" vertical="center" wrapText="1"/>
      <protection locked="0"/>
    </xf>
    <xf numFmtId="0" fontId="7" fillId="0" borderId="19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19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11" fillId="0" borderId="22" xfId="0" applyFont="1" applyBorder="1" applyAlignment="1" applyProtection="1">
      <alignment horizontal="justify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17" xfId="0" applyFont="1" applyBorder="1" applyAlignment="1" applyProtection="1">
      <alignment horizontal="center" wrapText="1"/>
      <protection locked="0"/>
    </xf>
    <xf numFmtId="0" fontId="11" fillId="0" borderId="18" xfId="0" applyFont="1" applyBorder="1" applyAlignment="1" applyProtection="1">
      <alignment horizontal="justify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justify" wrapText="1"/>
      <protection locked="0"/>
    </xf>
    <xf numFmtId="0" fontId="11" fillId="0" borderId="22" xfId="0" applyFont="1" applyBorder="1" applyAlignment="1" applyProtection="1">
      <alignment horizontal="justify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7" fillId="0" borderId="17" xfId="0" applyFont="1" applyBorder="1" applyAlignment="1" applyProtection="1">
      <alignment horizont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10" fillId="0" borderId="20" xfId="0" applyFont="1" applyBorder="1" applyAlignment="1" applyProtection="1">
      <alignment horizontal="center" wrapText="1"/>
      <protection locked="0"/>
    </xf>
    <xf numFmtId="0" fontId="10" fillId="0" borderId="21" xfId="0" applyFont="1" applyBorder="1" applyAlignment="1" applyProtection="1">
      <alignment horizontal="center" wrapText="1"/>
      <protection locked="0"/>
    </xf>
    <xf numFmtId="0" fontId="7" fillId="0" borderId="20" xfId="0" applyFont="1" applyBorder="1" applyAlignment="1" applyProtection="1">
      <alignment horizontal="left" vertical="center" wrapText="1"/>
      <protection locked="0"/>
    </xf>
    <xf numFmtId="0" fontId="7" fillId="0" borderId="22" xfId="0" applyFont="1" applyBorder="1" applyAlignment="1" applyProtection="1">
      <alignment horizontal="left" vertical="center" wrapText="1"/>
      <protection locked="0"/>
    </xf>
    <xf numFmtId="0" fontId="7" fillId="0" borderId="21" xfId="0" applyFont="1" applyBorder="1" applyAlignment="1" applyProtection="1">
      <alignment horizontal="left" vertical="center" wrapText="1"/>
      <protection locked="0"/>
    </xf>
    <xf numFmtId="0" fontId="7" fillId="0" borderId="20" xfId="0" applyFont="1" applyBorder="1" applyAlignment="1" applyProtection="1">
      <alignment horizontal="justify" wrapText="1"/>
      <protection locked="0"/>
    </xf>
    <xf numFmtId="0" fontId="7" fillId="0" borderId="21" xfId="0" applyFont="1" applyBorder="1" applyAlignment="1" applyProtection="1">
      <alignment horizontal="justify" wrapText="1"/>
      <protection locked="0"/>
    </xf>
    <xf numFmtId="0" fontId="8" fillId="0" borderId="20" xfId="0" applyFont="1" applyBorder="1" applyAlignment="1" applyProtection="1">
      <alignment horizontal="center" vertical="center" wrapText="1"/>
      <protection locked="0"/>
    </xf>
    <xf numFmtId="0" fontId="8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wrapText="1"/>
      <protection locked="0"/>
    </xf>
    <xf numFmtId="0" fontId="7" fillId="0" borderId="21" xfId="0" applyFont="1" applyBorder="1" applyAlignment="1" applyProtection="1">
      <alignment horizontal="center" wrapText="1"/>
      <protection locked="0"/>
    </xf>
    <xf numFmtId="0" fontId="14" fillId="0" borderId="20" xfId="0" applyFont="1" applyBorder="1" applyAlignment="1" applyProtection="1">
      <alignment horizontal="center" wrapText="1"/>
      <protection locked="0"/>
    </xf>
    <xf numFmtId="0" fontId="14" fillId="0" borderId="21" xfId="0" applyFont="1" applyBorder="1" applyAlignment="1" applyProtection="1">
      <alignment horizontal="center" wrapText="1"/>
      <protection locked="0"/>
    </xf>
    <xf numFmtId="49" fontId="10" fillId="0" borderId="20" xfId="0" applyNumberFormat="1" applyFont="1" applyBorder="1" applyAlignment="1" applyProtection="1">
      <alignment horizontal="center" wrapText="1"/>
      <protection locked="0"/>
    </xf>
    <xf numFmtId="49" fontId="10" fillId="0" borderId="21" xfId="0" applyNumberFormat="1" applyFont="1" applyBorder="1" applyAlignment="1" applyProtection="1">
      <alignment horizontal="center" wrapText="1"/>
      <protection locked="0"/>
    </xf>
    <xf numFmtId="0" fontId="7" fillId="0" borderId="31" xfId="0" applyFont="1" applyBorder="1" applyAlignment="1" applyProtection="1">
      <alignment horizontal="justify" wrapText="1"/>
      <protection locked="0"/>
    </xf>
    <xf numFmtId="0" fontId="7" fillId="0" borderId="32" xfId="0" applyFont="1" applyBorder="1" applyAlignment="1" applyProtection="1">
      <alignment horizontal="justify" wrapText="1"/>
      <protection locked="0"/>
    </xf>
    <xf numFmtId="0" fontId="15" fillId="0" borderId="20" xfId="0" applyFont="1" applyBorder="1" applyAlignment="1" applyProtection="1">
      <alignment horizontal="center" wrapText="1"/>
      <protection locked="0"/>
    </xf>
    <xf numFmtId="0" fontId="7" fillId="0" borderId="20" xfId="0" quotePrefix="1" applyFont="1" applyBorder="1" applyAlignment="1" applyProtection="1">
      <alignment horizontal="center" wrapText="1"/>
      <protection locked="0"/>
    </xf>
    <xf numFmtId="0" fontId="19" fillId="0" borderId="20" xfId="0" applyFont="1" applyBorder="1" applyAlignment="1" applyProtection="1">
      <alignment horizontal="center" wrapText="1"/>
      <protection locked="0"/>
    </xf>
    <xf numFmtId="0" fontId="19" fillId="0" borderId="21" xfId="0" applyFont="1" applyBorder="1" applyAlignment="1" applyProtection="1">
      <alignment horizontal="center" wrapText="1"/>
      <protection locked="0"/>
    </xf>
    <xf numFmtId="9" fontId="19" fillId="0" borderId="20" xfId="0" applyNumberFormat="1" applyFont="1" applyBorder="1" applyAlignment="1" applyProtection="1">
      <alignment horizontal="center" wrapText="1"/>
      <protection locked="0"/>
    </xf>
    <xf numFmtId="0" fontId="7" fillId="0" borderId="20" xfId="0" quotePrefix="1" applyFont="1" applyBorder="1" applyAlignment="1" applyProtection="1">
      <alignment horizontal="left" wrapText="1"/>
      <protection locked="0"/>
    </xf>
    <xf numFmtId="0" fontId="7" fillId="0" borderId="22" xfId="0" applyFont="1" applyBorder="1" applyAlignment="1" applyProtection="1">
      <alignment horizontal="left" wrapText="1"/>
      <protection locked="0"/>
    </xf>
    <xf numFmtId="0" fontId="7" fillId="0" borderId="21" xfId="0" applyFont="1" applyBorder="1" applyAlignment="1" applyProtection="1">
      <alignment horizontal="left" wrapText="1"/>
      <protection locked="0"/>
    </xf>
    <xf numFmtId="0" fontId="7" fillId="0" borderId="20" xfId="0" applyFont="1" applyBorder="1" applyAlignment="1" applyProtection="1">
      <alignment horizontal="left" wrapText="1"/>
      <protection locked="0"/>
    </xf>
    <xf numFmtId="0" fontId="18" fillId="0" borderId="20" xfId="0" applyFont="1" applyBorder="1" applyAlignment="1" applyProtection="1">
      <alignment horizontal="center" wrapText="1"/>
      <protection locked="0"/>
    </xf>
    <xf numFmtId="0" fontId="7" fillId="0" borderId="20" xfId="0" quotePrefix="1" applyFont="1" applyBorder="1" applyAlignment="1" applyProtection="1">
      <alignment horizontal="left" vertical="top" wrapText="1"/>
      <protection locked="0"/>
    </xf>
    <xf numFmtId="0" fontId="7" fillId="0" borderId="22" xfId="0" quotePrefix="1" applyFont="1" applyBorder="1" applyAlignment="1" applyProtection="1">
      <alignment horizontal="left" vertical="top" wrapText="1"/>
      <protection locked="0"/>
    </xf>
    <xf numFmtId="0" fontId="7" fillId="0" borderId="21" xfId="0" quotePrefix="1" applyFont="1" applyBorder="1" applyAlignment="1" applyProtection="1">
      <alignment horizontal="left" vertical="top" wrapText="1"/>
      <protection locked="0"/>
    </xf>
    <xf numFmtId="0" fontId="17" fillId="0" borderId="20" xfId="0" quotePrefix="1" applyFont="1" applyBorder="1" applyAlignment="1" applyProtection="1">
      <alignment horizontal="left" wrapText="1"/>
      <protection locked="0"/>
    </xf>
    <xf numFmtId="0" fontId="7" fillId="0" borderId="23" xfId="0" quotePrefix="1" applyFont="1" applyBorder="1" applyAlignment="1" applyProtection="1">
      <alignment horizontal="center" vertical="center" wrapText="1"/>
      <protection locked="0"/>
    </xf>
    <xf numFmtId="0" fontId="7" fillId="0" borderId="25" xfId="0" quotePrefix="1" applyFont="1" applyBorder="1" applyAlignment="1" applyProtection="1">
      <alignment horizontal="center" vertical="center" wrapText="1"/>
      <protection locked="0"/>
    </xf>
    <xf numFmtId="0" fontId="7" fillId="0" borderId="27" xfId="0" quotePrefix="1" applyFont="1" applyBorder="1" applyAlignment="1" applyProtection="1">
      <alignment horizontal="center" vertical="center" wrapText="1"/>
      <protection locked="0"/>
    </xf>
    <xf numFmtId="0" fontId="7" fillId="0" borderId="28" xfId="0" quotePrefix="1" applyFont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0" fontId="7" fillId="0" borderId="27" xfId="0" quotePrefix="1" applyFont="1" applyBorder="1" applyAlignment="1" applyProtection="1">
      <alignment horizontal="left" vertical="top" wrapText="1"/>
      <protection locked="0"/>
    </xf>
    <xf numFmtId="0" fontId="7" fillId="0" borderId="29" xfId="0" quotePrefix="1" applyFont="1" applyBorder="1" applyAlignment="1" applyProtection="1">
      <alignment horizontal="left" vertical="top" wrapText="1"/>
      <protection locked="0"/>
    </xf>
    <xf numFmtId="0" fontId="7" fillId="0" borderId="28" xfId="0" quotePrefix="1" applyFont="1" applyBorder="1" applyAlignment="1" applyProtection="1">
      <alignment horizontal="left" vertical="top" wrapText="1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left" wrapText="1"/>
      <protection locked="0"/>
    </xf>
    <xf numFmtId="0" fontId="15" fillId="0" borderId="21" xfId="0" applyFont="1" applyBorder="1" applyAlignment="1" applyProtection="1">
      <alignment horizontal="left" wrapText="1"/>
      <protection locked="0"/>
    </xf>
    <xf numFmtId="0" fontId="0" fillId="0" borderId="22" xfId="0" applyBorder="1" applyProtection="1">
      <protection locked="0"/>
    </xf>
    <xf numFmtId="0" fontId="0" fillId="0" borderId="21" xfId="0" applyBorder="1" applyProtection="1">
      <protection locked="0"/>
    </xf>
    <xf numFmtId="0" fontId="25" fillId="0" borderId="20" xfId="0" applyFont="1" applyBorder="1" applyAlignment="1" applyProtection="1">
      <alignment horizontal="center" wrapText="1"/>
      <protection locked="0"/>
    </xf>
    <xf numFmtId="0" fontId="25" fillId="0" borderId="21" xfId="0" applyFont="1" applyBorder="1" applyAlignment="1" applyProtection="1">
      <alignment horizontal="center" wrapText="1"/>
      <protection locked="0"/>
    </xf>
    <xf numFmtId="0" fontId="22" fillId="0" borderId="20" xfId="0" applyFont="1" applyBorder="1" applyAlignment="1" applyProtection="1">
      <alignment horizontal="center"/>
      <protection locked="0"/>
    </xf>
    <xf numFmtId="0" fontId="24" fillId="0" borderId="21" xfId="0" applyFont="1" applyBorder="1" applyAlignment="1" applyProtection="1">
      <alignment horizontal="center"/>
      <protection locked="0"/>
    </xf>
    <xf numFmtId="0" fontId="7" fillId="0" borderId="20" xfId="0" quotePrefix="1" applyFont="1" applyBorder="1" applyAlignment="1" applyProtection="1">
      <alignment horizontal="justify" wrapText="1"/>
      <protection locked="0"/>
    </xf>
    <xf numFmtId="0" fontId="19" fillId="0" borderId="20" xfId="0" applyFont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justify" wrapText="1"/>
      <protection locked="0"/>
    </xf>
    <xf numFmtId="0" fontId="3" fillId="0" borderId="20" xfId="0" applyFont="1" applyBorder="1" applyAlignment="1" applyProtection="1">
      <alignment horizontal="left" vertical="center" wrapText="1"/>
      <protection locked="0"/>
    </xf>
    <xf numFmtId="0" fontId="3" fillId="0" borderId="22" xfId="0" applyFont="1" applyBorder="1" applyAlignment="1" applyProtection="1">
      <alignment horizontal="left" vertical="center" wrapText="1"/>
      <protection locked="0"/>
    </xf>
    <xf numFmtId="0" fontId="3" fillId="0" borderId="21" xfId="0" applyFont="1" applyBorder="1" applyAlignment="1" applyProtection="1">
      <alignment horizontal="left" vertical="center" wrapText="1"/>
      <protection locked="0"/>
    </xf>
    <xf numFmtId="0" fontId="1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protection locked="0"/>
    </xf>
    <xf numFmtId="0" fontId="12" fillId="0" borderId="8" xfId="0" applyFont="1" applyBorder="1" applyAlignment="1" applyProtection="1">
      <alignment horizontal="center" vertical="center" wrapText="1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0" fillId="0" borderId="31" xfId="0" applyFont="1" applyBorder="1" applyAlignment="1" applyProtection="1">
      <alignment horizontal="center" wrapText="1"/>
      <protection locked="0"/>
    </xf>
    <xf numFmtId="0" fontId="10" fillId="0" borderId="32" xfId="0" applyFont="1" applyBorder="1" applyAlignment="1" applyProtection="1">
      <alignment horizontal="center" wrapText="1"/>
      <protection locked="0"/>
    </xf>
    <xf numFmtId="0" fontId="7" fillId="0" borderId="22" xfId="0" quotePrefix="1" applyFont="1" applyBorder="1" applyAlignment="1" applyProtection="1">
      <alignment horizontal="left" wrapText="1"/>
      <protection locked="0"/>
    </xf>
    <xf numFmtId="0" fontId="7" fillId="0" borderId="21" xfId="0" quotePrefix="1" applyFont="1" applyBorder="1" applyAlignment="1" applyProtection="1">
      <alignment horizontal="left" wrapText="1"/>
      <protection locked="0"/>
    </xf>
    <xf numFmtId="0" fontId="7" fillId="0" borderId="22" xfId="0" quotePrefix="1" applyFont="1" applyBorder="1" applyAlignment="1" applyProtection="1">
      <alignment horizontal="justify" wrapText="1"/>
      <protection locked="0"/>
    </xf>
    <xf numFmtId="0" fontId="7" fillId="0" borderId="21" xfId="0" quotePrefix="1" applyFont="1" applyBorder="1" applyAlignment="1" applyProtection="1">
      <alignment horizontal="justify" wrapText="1"/>
      <protection locked="0"/>
    </xf>
    <xf numFmtId="0" fontId="11" fillId="0" borderId="20" xfId="0" applyFont="1" applyBorder="1" applyAlignment="1" applyProtection="1">
      <alignment horizontal="justify" wrapText="1"/>
      <protection locked="0"/>
    </xf>
    <xf numFmtId="0" fontId="11" fillId="0" borderId="22" xfId="0" applyFont="1" applyBorder="1" applyAlignment="1" applyProtection="1">
      <alignment horizontal="justify" wrapText="1"/>
      <protection locked="0"/>
    </xf>
    <xf numFmtId="0" fontId="11" fillId="0" borderId="21" xfId="0" applyFont="1" applyBorder="1" applyAlignment="1" applyProtection="1">
      <alignment horizontal="justify" wrapText="1"/>
      <protection locked="0"/>
    </xf>
    <xf numFmtId="0" fontId="11" fillId="0" borderId="6" xfId="0" applyFont="1" applyBorder="1" applyAlignment="1" applyProtection="1">
      <alignment horizontal="center" wrapText="1"/>
      <protection locked="0"/>
    </xf>
    <xf numFmtId="0" fontId="11" fillId="0" borderId="10" xfId="0" applyFont="1" applyBorder="1" applyAlignment="1" applyProtection="1">
      <alignment horizontal="center" wrapText="1"/>
      <protection locked="0"/>
    </xf>
    <xf numFmtId="0" fontId="11" fillId="0" borderId="7" xfId="0" applyFont="1" applyBorder="1" applyAlignment="1" applyProtection="1">
      <alignment horizontal="center" wrapText="1"/>
      <protection locked="0"/>
    </xf>
    <xf numFmtId="0" fontId="11" fillId="0" borderId="13" xfId="0" applyFont="1" applyBorder="1" applyAlignment="1" applyProtection="1">
      <alignment horizontal="center" wrapText="1"/>
      <protection locked="0"/>
    </xf>
    <xf numFmtId="0" fontId="11" fillId="0" borderId="0" xfId="0" applyFont="1" applyBorder="1" applyAlignment="1" applyProtection="1">
      <alignment horizontal="center" wrapText="1"/>
      <protection locked="0"/>
    </xf>
    <xf numFmtId="0" fontId="11" fillId="0" borderId="14" xfId="0" applyFont="1" applyBorder="1" applyAlignment="1" applyProtection="1">
      <alignment horizontal="center" wrapText="1"/>
      <protection locked="0"/>
    </xf>
    <xf numFmtId="0" fontId="11" fillId="0" borderId="8" xfId="0" applyFont="1" applyBorder="1" applyAlignment="1" applyProtection="1">
      <alignment horizontal="center" wrapText="1"/>
      <protection locked="0"/>
    </xf>
    <xf numFmtId="0" fontId="11" fillId="0" borderId="11" xfId="0" applyFont="1" applyBorder="1" applyAlignment="1" applyProtection="1">
      <alignment horizontal="center" wrapText="1"/>
      <protection locked="0"/>
    </xf>
    <xf numFmtId="0" fontId="11" fillId="0" borderId="9" xfId="0" applyFont="1" applyBorder="1" applyAlignment="1" applyProtection="1">
      <alignment horizontal="center" wrapText="1"/>
      <protection locked="0"/>
    </xf>
    <xf numFmtId="0" fontId="11" fillId="0" borderId="11" xfId="0" applyFont="1" applyBorder="1" applyAlignment="1" applyProtection="1">
      <alignment horizontal="justify" wrapText="1"/>
      <protection locked="0"/>
    </xf>
    <xf numFmtId="0" fontId="11" fillId="0" borderId="9" xfId="0" applyFont="1" applyBorder="1" applyAlignment="1" applyProtection="1">
      <alignment horizontal="justify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 applyProtection="1">
      <alignment horizontal="justify" wrapText="1"/>
      <protection locked="0"/>
    </xf>
    <xf numFmtId="0" fontId="11" fillId="0" borderId="17" xfId="0" applyFont="1" applyBorder="1" applyAlignment="1" applyProtection="1">
      <alignment horizontal="justify" wrapText="1"/>
      <protection locked="0"/>
    </xf>
    <xf numFmtId="0" fontId="11" fillId="0" borderId="18" xfId="0" applyFont="1" applyBorder="1" applyAlignment="1" applyProtection="1">
      <alignment horizontal="justify" wrapText="1"/>
      <protection locked="0"/>
    </xf>
    <xf numFmtId="0" fontId="11" fillId="0" borderId="20" xfId="0" applyFont="1" applyBorder="1" applyAlignment="1" applyProtection="1">
      <alignment wrapText="1"/>
      <protection locked="0"/>
    </xf>
    <xf numFmtId="0" fontId="11" fillId="0" borderId="22" xfId="0" applyFont="1" applyBorder="1" applyAlignment="1" applyProtection="1">
      <alignment wrapText="1"/>
      <protection locked="0"/>
    </xf>
    <xf numFmtId="0" fontId="11" fillId="0" borderId="21" xfId="0" applyFont="1" applyBorder="1" applyAlignment="1" applyProtection="1">
      <alignment wrapText="1"/>
      <protection locked="0"/>
    </xf>
    <xf numFmtId="0" fontId="7" fillId="0" borderId="16" xfId="0" applyFont="1" applyBorder="1" applyAlignment="1" applyProtection="1">
      <alignment horizontal="justify" wrapText="1"/>
      <protection locked="0"/>
    </xf>
    <xf numFmtId="0" fontId="7" fillId="0" borderId="17" xfId="0" applyFont="1" applyBorder="1" applyAlignment="1" applyProtection="1">
      <alignment horizontal="justify" wrapText="1"/>
      <protection locked="0"/>
    </xf>
    <xf numFmtId="0" fontId="11" fillId="0" borderId="16" xfId="0" applyFont="1" applyBorder="1" applyAlignment="1" applyProtection="1">
      <alignment wrapText="1"/>
      <protection locked="0"/>
    </xf>
    <xf numFmtId="0" fontId="11" fillId="0" borderId="18" xfId="0" applyFont="1" applyBorder="1" applyAlignment="1" applyProtection="1">
      <alignment wrapText="1"/>
      <protection locked="0"/>
    </xf>
    <xf numFmtId="0" fontId="11" fillId="0" borderId="17" xfId="0" applyFont="1" applyBorder="1" applyAlignment="1" applyProtection="1">
      <alignment wrapText="1"/>
      <protection locked="0"/>
    </xf>
    <xf numFmtId="0" fontId="8" fillId="0" borderId="16" xfId="0" applyFont="1" applyBorder="1" applyAlignment="1" applyProtection="1">
      <alignment horizontal="center" vertical="center" wrapText="1"/>
      <protection locked="0"/>
    </xf>
    <xf numFmtId="0" fontId="8" fillId="0" borderId="17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3" fillId="0" borderId="20" xfId="0" quotePrefix="1" applyFont="1" applyBorder="1" applyAlignment="1" applyProtection="1">
      <alignment horizontal="center" wrapText="1"/>
      <protection locked="0"/>
    </xf>
    <xf numFmtId="0" fontId="3" fillId="0" borderId="22" xfId="0" quotePrefix="1" applyFont="1" applyBorder="1" applyAlignment="1" applyProtection="1">
      <alignment horizontal="center" wrapText="1"/>
      <protection locked="0"/>
    </xf>
    <xf numFmtId="0" fontId="3" fillId="0" borderId="21" xfId="0" quotePrefix="1" applyFont="1" applyBorder="1" applyAlignment="1" applyProtection="1">
      <alignment horizontal="center" wrapText="1"/>
      <protection locked="0"/>
    </xf>
    <xf numFmtId="0" fontId="3" fillId="0" borderId="20" xfId="0" quotePrefix="1" applyFont="1" applyBorder="1" applyAlignment="1" applyProtection="1">
      <alignment horizontal="left" vertical="top" wrapText="1"/>
      <protection locked="0"/>
    </xf>
    <xf numFmtId="0" fontId="3" fillId="0" borderId="22" xfId="0" quotePrefix="1" applyFont="1" applyBorder="1" applyAlignment="1" applyProtection="1">
      <alignment horizontal="left" vertical="top" wrapText="1"/>
      <protection locked="0"/>
    </xf>
    <xf numFmtId="0" fontId="3" fillId="0" borderId="21" xfId="0" quotePrefix="1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14" fillId="0" borderId="31" xfId="0" applyFont="1" applyBorder="1" applyAlignment="1" applyProtection="1">
      <alignment horizontal="center" wrapText="1"/>
      <protection locked="0"/>
    </xf>
    <xf numFmtId="0" fontId="14" fillId="0" borderId="32" xfId="0" applyFont="1" applyBorder="1" applyAlignment="1" applyProtection="1">
      <alignment horizontal="center" wrapText="1"/>
      <protection locked="0"/>
    </xf>
    <xf numFmtId="0" fontId="20" fillId="0" borderId="20" xfId="0" applyFont="1" applyBorder="1" applyAlignment="1" applyProtection="1">
      <alignment horizontal="justify" wrapText="1"/>
      <protection locked="0"/>
    </xf>
    <xf numFmtId="0" fontId="20" fillId="0" borderId="22" xfId="0" applyFont="1" applyBorder="1" applyAlignment="1" applyProtection="1">
      <alignment horizontal="justify" wrapText="1"/>
      <protection locked="0"/>
    </xf>
    <xf numFmtId="0" fontId="20" fillId="0" borderId="21" xfId="0" applyFont="1" applyBorder="1" applyAlignment="1" applyProtection="1">
      <alignment horizontal="justify" wrapText="1"/>
      <protection locked="0"/>
    </xf>
    <xf numFmtId="9" fontId="10" fillId="0" borderId="20" xfId="0" applyNumberFormat="1" applyFont="1" applyBorder="1" applyAlignment="1" applyProtection="1">
      <alignment horizontal="center" wrapText="1"/>
      <protection locked="0"/>
    </xf>
    <xf numFmtId="9" fontId="10" fillId="0" borderId="21" xfId="0" applyNumberFormat="1" applyFont="1" applyBorder="1" applyAlignment="1" applyProtection="1">
      <alignment horizont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7" fillId="0" borderId="24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 applyProtection="1">
      <alignment horizontal="left" vertical="center" wrapText="1"/>
      <protection locked="0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0" borderId="14" xfId="0" applyFont="1" applyBorder="1" applyAlignment="1" applyProtection="1">
      <alignment horizontal="left" vertical="center" wrapText="1"/>
      <protection locked="0"/>
    </xf>
    <xf numFmtId="0" fontId="7" fillId="0" borderId="27" xfId="0" applyFont="1" applyBorder="1" applyAlignment="1" applyProtection="1">
      <alignment horizontal="left" vertical="center" wrapText="1"/>
      <protection locked="0"/>
    </xf>
    <xf numFmtId="0" fontId="7" fillId="0" borderId="29" xfId="0" applyFont="1" applyBorder="1" applyAlignment="1" applyProtection="1">
      <alignment horizontal="left" vertical="center" wrapText="1"/>
      <protection locked="0"/>
    </xf>
    <xf numFmtId="0" fontId="7" fillId="0" borderId="28" xfId="0" applyFont="1" applyBorder="1" applyAlignment="1" applyProtection="1">
      <alignment horizontal="left" vertical="center" wrapText="1"/>
      <protection locked="0"/>
    </xf>
    <xf numFmtId="0" fontId="3" fillId="0" borderId="23" xfId="0" quotePrefix="1" applyFont="1" applyBorder="1" applyAlignment="1" applyProtection="1">
      <alignment horizontal="left" vertical="center" wrapText="1"/>
      <protection locked="0"/>
    </xf>
    <xf numFmtId="0" fontId="3" fillId="0" borderId="24" xfId="0" quotePrefix="1" applyFont="1" applyBorder="1" applyAlignment="1" applyProtection="1">
      <alignment horizontal="left" vertical="center" wrapText="1"/>
      <protection locked="0"/>
    </xf>
    <xf numFmtId="0" fontId="3" fillId="0" borderId="25" xfId="0" quotePrefix="1" applyFont="1" applyBorder="1" applyAlignment="1" applyProtection="1">
      <alignment horizontal="left" vertical="center" wrapText="1"/>
      <protection locked="0"/>
    </xf>
    <xf numFmtId="0" fontId="3" fillId="0" borderId="13" xfId="0" quotePrefix="1" applyFont="1" applyBorder="1" applyAlignment="1" applyProtection="1">
      <alignment horizontal="left" vertical="center" wrapText="1"/>
      <protection locked="0"/>
    </xf>
    <xf numFmtId="0" fontId="3" fillId="0" borderId="0" xfId="0" quotePrefix="1" applyFont="1" applyBorder="1" applyAlignment="1" applyProtection="1">
      <alignment horizontal="left" vertical="center" wrapText="1"/>
      <protection locked="0"/>
    </xf>
    <xf numFmtId="0" fontId="3" fillId="0" borderId="14" xfId="0" quotePrefix="1" applyFont="1" applyBorder="1" applyAlignment="1" applyProtection="1">
      <alignment horizontal="left" vertical="center" wrapText="1"/>
      <protection locked="0"/>
    </xf>
    <xf numFmtId="0" fontId="3" fillId="0" borderId="27" xfId="0" quotePrefix="1" applyFont="1" applyBorder="1" applyAlignment="1" applyProtection="1">
      <alignment horizontal="left" vertical="center" wrapText="1"/>
      <protection locked="0"/>
    </xf>
    <xf numFmtId="0" fontId="3" fillId="0" borderId="29" xfId="0" quotePrefix="1" applyFont="1" applyBorder="1" applyAlignment="1" applyProtection="1">
      <alignment horizontal="left" vertical="center" wrapText="1"/>
      <protection locked="0"/>
    </xf>
    <xf numFmtId="0" fontId="3" fillId="0" borderId="28" xfId="0" quotePrefix="1" applyFont="1" applyBorder="1" applyAlignment="1" applyProtection="1">
      <alignment horizontal="left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7" fillId="0" borderId="16" xfId="0" applyFont="1" applyBorder="1" applyAlignment="1" applyProtection="1">
      <alignment horizontal="center" wrapText="1"/>
      <protection locked="0"/>
    </xf>
    <xf numFmtId="0" fontId="7" fillId="0" borderId="17" xfId="0" applyFont="1" applyBorder="1" applyAlignment="1" applyProtection="1">
      <alignment horizontal="center" wrapText="1"/>
      <protection locked="0"/>
    </xf>
    <xf numFmtId="0" fontId="7" fillId="0" borderId="18" xfId="0" applyFont="1" applyBorder="1" applyAlignment="1" applyProtection="1">
      <alignment horizontal="justify" wrapText="1"/>
      <protection locked="0"/>
    </xf>
    <xf numFmtId="0" fontId="7" fillId="0" borderId="20" xfId="0" applyFont="1" applyBorder="1" applyAlignment="1" applyProtection="1">
      <alignment horizontal="center" vertical="top" wrapText="1"/>
      <protection locked="0"/>
    </xf>
    <xf numFmtId="0" fontId="7" fillId="0" borderId="21" xfId="0" applyFont="1" applyBorder="1" applyAlignment="1" applyProtection="1">
      <alignment horizontal="center" vertical="top" wrapText="1"/>
      <protection locked="0"/>
    </xf>
    <xf numFmtId="0" fontId="22" fillId="0" borderId="20" xfId="0" applyFont="1" applyBorder="1" applyAlignment="1" applyProtection="1">
      <alignment horizontal="center" shrinkToFit="1"/>
      <protection locked="0"/>
    </xf>
    <xf numFmtId="0" fontId="22" fillId="0" borderId="21" xfId="0" applyFont="1" applyBorder="1" applyAlignment="1" applyProtection="1">
      <alignment horizontal="center" shrinkToFit="1"/>
      <protection locked="0"/>
    </xf>
    <xf numFmtId="0" fontId="7" fillId="0" borderId="31" xfId="0" applyFont="1" applyBorder="1" applyAlignment="1" applyProtection="1">
      <alignment horizontal="center" wrapText="1"/>
      <protection locked="0"/>
    </xf>
    <xf numFmtId="0" fontId="7" fillId="0" borderId="32" xfId="0" applyFont="1" applyBorder="1" applyAlignment="1" applyProtection="1">
      <alignment horizontal="center" wrapText="1"/>
      <protection locked="0"/>
    </xf>
    <xf numFmtId="0" fontId="21" fillId="0" borderId="20" xfId="0" applyFont="1" applyBorder="1" applyAlignment="1" applyProtection="1">
      <alignment horizontal="center" wrapText="1"/>
      <protection locked="0"/>
    </xf>
    <xf numFmtId="0" fontId="21" fillId="0" borderId="21" xfId="0" applyFont="1" applyBorder="1" applyAlignment="1" applyProtection="1">
      <alignment horizontal="center" wrapText="1"/>
      <protection locked="0"/>
    </xf>
    <xf numFmtId="0" fontId="15" fillId="0" borderId="16" xfId="0" applyFont="1" applyBorder="1" applyAlignment="1" applyProtection="1">
      <alignment horizontal="center" wrapText="1"/>
      <protection locked="0"/>
    </xf>
    <xf numFmtId="0" fontId="7" fillId="0" borderId="23" xfId="0" quotePrefix="1" applyFont="1" applyBorder="1" applyAlignment="1" applyProtection="1">
      <alignment horizontal="left" vertical="center" wrapText="1"/>
      <protection locked="0"/>
    </xf>
    <xf numFmtId="0" fontId="7" fillId="0" borderId="24" xfId="0" quotePrefix="1" applyFont="1" applyBorder="1" applyAlignment="1" applyProtection="1">
      <alignment horizontal="left" vertical="center" wrapText="1"/>
      <protection locked="0"/>
    </xf>
    <xf numFmtId="0" fontId="7" fillId="0" borderId="25" xfId="0" quotePrefix="1" applyFont="1" applyBorder="1" applyAlignment="1" applyProtection="1">
      <alignment horizontal="left" vertical="center" wrapText="1"/>
      <protection locked="0"/>
    </xf>
    <xf numFmtId="0" fontId="7" fillId="0" borderId="27" xfId="0" quotePrefix="1" applyFont="1" applyBorder="1" applyAlignment="1" applyProtection="1">
      <alignment horizontal="left" vertical="center" wrapText="1"/>
      <protection locked="0"/>
    </xf>
    <xf numFmtId="0" fontId="7" fillId="0" borderId="29" xfId="0" quotePrefix="1" applyFont="1" applyBorder="1" applyAlignment="1" applyProtection="1">
      <alignment horizontal="left" vertical="center" wrapText="1"/>
      <protection locked="0"/>
    </xf>
    <xf numFmtId="0" fontId="7" fillId="0" borderId="28" xfId="0" quotePrefix="1" applyFont="1" applyBorder="1" applyAlignment="1" applyProtection="1">
      <alignment horizontal="left" vertical="center" wrapText="1"/>
      <protection locked="0"/>
    </xf>
    <xf numFmtId="0" fontId="17" fillId="0" borderId="23" xfId="0" applyFont="1" applyBorder="1" applyAlignment="1" applyProtection="1">
      <alignment horizontal="left" vertical="center" wrapText="1"/>
      <protection locked="0"/>
    </xf>
    <xf numFmtId="0" fontId="17" fillId="0" borderId="24" xfId="0" applyFont="1" applyBorder="1" applyAlignment="1" applyProtection="1">
      <alignment horizontal="left" vertical="center" wrapText="1"/>
      <protection locked="0"/>
    </xf>
    <xf numFmtId="0" fontId="17" fillId="0" borderId="25" xfId="0" applyFont="1" applyBorder="1" applyAlignment="1" applyProtection="1">
      <alignment horizontal="left" vertical="center" wrapText="1"/>
      <protection locked="0"/>
    </xf>
    <xf numFmtId="0" fontId="17" fillId="0" borderId="27" xfId="0" applyFont="1" applyBorder="1" applyAlignment="1" applyProtection="1">
      <alignment horizontal="left" vertical="center" wrapText="1"/>
      <protection locked="0"/>
    </xf>
    <xf numFmtId="0" fontId="17" fillId="0" borderId="29" xfId="0" applyFont="1" applyBorder="1" applyAlignment="1" applyProtection="1">
      <alignment horizontal="left" vertical="center" wrapText="1"/>
      <protection locked="0"/>
    </xf>
    <xf numFmtId="0" fontId="17" fillId="0" borderId="28" xfId="0" applyFont="1" applyBorder="1" applyAlignment="1" applyProtection="1">
      <alignment horizontal="left" vertical="center" wrapText="1"/>
      <protection locked="0"/>
    </xf>
    <xf numFmtId="0" fontId="7" fillId="0" borderId="26" xfId="0" applyFont="1" applyBorder="1" applyAlignment="1" applyProtection="1">
      <alignment horizontal="center" wrapText="1"/>
      <protection locked="0"/>
    </xf>
    <xf numFmtId="0" fontId="7" fillId="0" borderId="30" xfId="0" applyFont="1" applyBorder="1" applyAlignment="1" applyProtection="1">
      <alignment horizontal="center" wrapText="1"/>
      <protection locked="0"/>
    </xf>
    <xf numFmtId="0" fontId="17" fillId="0" borderId="20" xfId="0" quotePrefix="1" applyFont="1" applyBorder="1" applyAlignment="1" applyProtection="1">
      <alignment horizontal="left" vertical="top" wrapText="1"/>
      <protection locked="0"/>
    </xf>
    <xf numFmtId="0" fontId="17" fillId="0" borderId="22" xfId="0" quotePrefix="1" applyFont="1" applyBorder="1" applyAlignment="1" applyProtection="1">
      <alignment horizontal="left" vertical="top" wrapText="1"/>
      <protection locked="0"/>
    </xf>
    <xf numFmtId="0" fontId="17" fillId="0" borderId="21" xfId="0" quotePrefix="1" applyFont="1" applyBorder="1" applyAlignment="1" applyProtection="1">
      <alignment horizontal="left" vertical="top" wrapText="1"/>
      <protection locked="0"/>
    </xf>
    <xf numFmtId="0" fontId="23" fillId="0" borderId="20" xfId="0" quotePrefix="1" applyFont="1" applyBorder="1" applyAlignment="1" applyProtection="1">
      <alignment horizontal="left" vertical="top" wrapText="1"/>
      <protection locked="0"/>
    </xf>
    <xf numFmtId="0" fontId="21" fillId="0" borderId="22" xfId="0" quotePrefix="1" applyFont="1" applyBorder="1" applyAlignment="1" applyProtection="1">
      <alignment horizontal="left" vertical="top" wrapText="1"/>
      <protection locked="0"/>
    </xf>
    <xf numFmtId="0" fontId="21" fillId="0" borderId="21" xfId="0" quotePrefix="1" applyFont="1" applyBorder="1" applyAlignment="1" applyProtection="1">
      <alignment horizontal="left" vertical="top" wrapText="1"/>
      <protection locked="0"/>
    </xf>
    <xf numFmtId="0" fontId="7" fillId="0" borderId="20" xfId="0" quotePrefix="1" applyFont="1" applyBorder="1" applyAlignment="1" applyProtection="1">
      <alignment horizontal="left" vertical="center" wrapText="1"/>
      <protection locked="0"/>
    </xf>
    <xf numFmtId="0" fontId="7" fillId="0" borderId="13" xfId="0" quotePrefix="1" applyFont="1" applyBorder="1" applyAlignment="1" applyProtection="1">
      <alignment horizontal="left" vertical="center" wrapText="1"/>
      <protection locked="0"/>
    </xf>
    <xf numFmtId="0" fontId="7" fillId="0" borderId="0" xfId="0" quotePrefix="1" applyFont="1" applyBorder="1" applyAlignment="1" applyProtection="1">
      <alignment horizontal="left" vertical="center" wrapText="1"/>
      <protection locked="0"/>
    </xf>
    <xf numFmtId="0" fontId="7" fillId="0" borderId="14" xfId="0" quotePrefix="1" applyFont="1" applyBorder="1" applyAlignment="1" applyProtection="1">
      <alignment horizontal="left" vertical="center" wrapText="1"/>
      <protection locked="0"/>
    </xf>
    <xf numFmtId="0" fontId="3" fillId="0" borderId="20" xfId="0" quotePrefix="1" applyFont="1" applyBorder="1" applyAlignment="1" applyProtection="1">
      <alignment horizontal="left" vertical="center" wrapText="1"/>
      <protection locked="0"/>
    </xf>
    <xf numFmtId="0" fontId="3" fillId="0" borderId="22" xfId="0" quotePrefix="1" applyFont="1" applyBorder="1" applyAlignment="1" applyProtection="1">
      <alignment horizontal="left" vertical="center" wrapText="1"/>
      <protection locked="0"/>
    </xf>
    <xf numFmtId="0" fontId="3" fillId="0" borderId="21" xfId="0" quotePrefix="1" applyFont="1" applyBorder="1" applyAlignment="1" applyProtection="1">
      <alignment horizontal="left" vertical="center" wrapText="1"/>
      <protection locked="0"/>
    </xf>
    <xf numFmtId="0" fontId="26" fillId="0" borderId="23" xfId="0" applyFont="1" applyBorder="1" applyAlignment="1" applyProtection="1">
      <alignment horizontal="left" vertical="center" wrapText="1"/>
      <protection locked="0"/>
    </xf>
    <xf numFmtId="0" fontId="26" fillId="0" borderId="24" xfId="0" quotePrefix="1" applyFont="1" applyBorder="1" applyAlignment="1" applyProtection="1">
      <alignment horizontal="left" vertical="center" wrapText="1"/>
      <protection locked="0"/>
    </xf>
    <xf numFmtId="0" fontId="26" fillId="0" borderId="25" xfId="0" quotePrefix="1" applyFont="1" applyBorder="1" applyAlignment="1" applyProtection="1">
      <alignment horizontal="left" vertical="center" wrapText="1"/>
      <protection locked="0"/>
    </xf>
    <xf numFmtId="0" fontId="26" fillId="0" borderId="27" xfId="0" quotePrefix="1" applyFont="1" applyBorder="1" applyAlignment="1" applyProtection="1">
      <alignment horizontal="left" vertical="center" wrapText="1"/>
      <protection locked="0"/>
    </xf>
    <xf numFmtId="0" fontId="26" fillId="0" borderId="29" xfId="0" quotePrefix="1" applyFont="1" applyBorder="1" applyAlignment="1" applyProtection="1">
      <alignment horizontal="left" vertical="center" wrapText="1"/>
      <protection locked="0"/>
    </xf>
    <xf numFmtId="0" fontId="26" fillId="0" borderId="28" xfId="0" quotePrefix="1" applyFont="1" applyBorder="1" applyAlignment="1" applyProtection="1">
      <alignment horizontal="left" vertical="center" wrapText="1"/>
      <protection locked="0"/>
    </xf>
    <xf numFmtId="0" fontId="17" fillId="0" borderId="20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left" vertical="center" wrapText="1"/>
      <protection locked="0"/>
    </xf>
    <xf numFmtId="0" fontId="15" fillId="0" borderId="21" xfId="0" applyFont="1" applyBorder="1" applyAlignment="1" applyProtection="1">
      <alignment horizontal="left" vertical="center" wrapText="1"/>
      <protection locked="0"/>
    </xf>
    <xf numFmtId="0" fontId="15" fillId="0" borderId="21" xfId="0" applyFont="1" applyBorder="1" applyAlignment="1" applyProtection="1">
      <alignment horizontal="center" wrapText="1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0" fillId="0" borderId="27" xfId="0" applyBorder="1" applyAlignment="1" applyProtection="1">
      <alignment horizontal="left"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0" fillId="0" borderId="28" xfId="0" applyBorder="1" applyAlignment="1" applyProtection="1">
      <alignment horizontal="left" vertical="center"/>
      <protection locked="0"/>
    </xf>
    <xf numFmtId="0" fontId="23" fillId="0" borderId="20" xfId="0" applyFont="1" applyBorder="1" applyAlignment="1" applyProtection="1">
      <alignment horizontal="left" vertical="top" wrapText="1"/>
      <protection locked="0"/>
    </xf>
    <xf numFmtId="0" fontId="16" fillId="0" borderId="20" xfId="0" applyFont="1" applyBorder="1" applyAlignment="1">
      <alignment horizontal="left" vertical="center" wrapText="1"/>
    </xf>
    <xf numFmtId="0" fontId="16" fillId="0" borderId="22" xfId="0" quotePrefix="1" applyFont="1" applyBorder="1" applyAlignment="1">
      <alignment horizontal="left" vertical="center" wrapText="1"/>
    </xf>
    <xf numFmtId="0" fontId="16" fillId="0" borderId="21" xfId="0" quotePrefix="1" applyFont="1" applyBorder="1" applyAlignment="1">
      <alignment horizontal="left" vertical="center" wrapText="1"/>
    </xf>
    <xf numFmtId="0" fontId="3" fillId="0" borderId="23" xfId="0" quotePrefix="1" applyFont="1" applyBorder="1" applyAlignment="1" applyProtection="1">
      <alignment horizontal="left" vertical="top" wrapText="1"/>
      <protection locked="0"/>
    </xf>
    <xf numFmtId="0" fontId="3" fillId="0" borderId="24" xfId="0" quotePrefix="1" applyFont="1" applyBorder="1" applyAlignment="1" applyProtection="1">
      <alignment horizontal="left" vertical="top" wrapText="1"/>
      <protection locked="0"/>
    </xf>
    <xf numFmtId="0" fontId="3" fillId="0" borderId="25" xfId="0" quotePrefix="1" applyFont="1" applyBorder="1" applyAlignment="1" applyProtection="1">
      <alignment horizontal="left" vertical="top" wrapText="1"/>
      <protection locked="0"/>
    </xf>
    <xf numFmtId="0" fontId="3" fillId="0" borderId="27" xfId="0" quotePrefix="1" applyFont="1" applyBorder="1" applyAlignment="1" applyProtection="1">
      <alignment horizontal="left" vertical="top" wrapText="1"/>
      <protection locked="0"/>
    </xf>
    <xf numFmtId="0" fontId="3" fillId="0" borderId="29" xfId="0" quotePrefix="1" applyFont="1" applyBorder="1" applyAlignment="1" applyProtection="1">
      <alignment horizontal="left" vertical="top" wrapText="1"/>
      <protection locked="0"/>
    </xf>
    <xf numFmtId="0" fontId="3" fillId="0" borderId="28" xfId="0" quotePrefix="1" applyFont="1" applyBorder="1" applyAlignment="1" applyProtection="1">
      <alignment horizontal="left" vertical="top" wrapText="1"/>
      <protection locked="0"/>
    </xf>
    <xf numFmtId="0" fontId="7" fillId="0" borderId="20" xfId="0" applyFont="1" applyBorder="1" applyAlignment="1" applyProtection="1">
      <alignment horizontal="left" vertical="top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22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3" fillId="0" borderId="20" xfId="0" quotePrefix="1" applyFont="1" applyBorder="1" applyAlignment="1" applyProtection="1">
      <alignment horizontal="center" vertical="center" wrapText="1"/>
      <protection locked="0"/>
    </xf>
    <xf numFmtId="0" fontId="3" fillId="0" borderId="22" xfId="0" quotePrefix="1" applyFont="1" applyBorder="1" applyAlignment="1" applyProtection="1">
      <alignment horizontal="center" vertical="center" wrapText="1"/>
      <protection locked="0"/>
    </xf>
    <xf numFmtId="0" fontId="3" fillId="0" borderId="21" xfId="0" quotePrefix="1" applyFont="1" applyBorder="1" applyAlignment="1" applyProtection="1">
      <alignment horizontal="center" vertical="center" wrapText="1"/>
      <protection locked="0"/>
    </xf>
    <xf numFmtId="0" fontId="17" fillId="0" borderId="20" xfId="0" applyFont="1" applyBorder="1" applyAlignment="1" applyProtection="1">
      <alignment horizontal="left" wrapText="1"/>
      <protection locked="0"/>
    </xf>
    <xf numFmtId="0" fontId="17" fillId="0" borderId="22" xfId="0" applyFont="1" applyBorder="1" applyAlignment="1" applyProtection="1">
      <alignment horizontal="left" wrapText="1"/>
      <protection locked="0"/>
    </xf>
    <xf numFmtId="0" fontId="17" fillId="0" borderId="21" xfId="0" applyFont="1" applyBorder="1" applyAlignment="1" applyProtection="1">
      <alignment horizontal="left" wrapText="1"/>
      <protection locked="0"/>
    </xf>
    <xf numFmtId="0" fontId="21" fillId="0" borderId="20" xfId="0" applyFont="1" applyBorder="1" applyAlignment="1" applyProtection="1">
      <alignment horizontal="left" wrapText="1"/>
      <protection locked="0"/>
    </xf>
    <xf numFmtId="0" fontId="21" fillId="0" borderId="22" xfId="0" applyFont="1" applyBorder="1" applyAlignment="1" applyProtection="1">
      <alignment horizontal="left" wrapText="1"/>
      <protection locked="0"/>
    </xf>
    <xf numFmtId="0" fontId="21" fillId="0" borderId="21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vertical="center" wrapText="1"/>
      <protection locked="0"/>
    </xf>
    <xf numFmtId="0" fontId="6" fillId="0" borderId="22" xfId="0" applyFont="1" applyBorder="1" applyAlignment="1" applyProtection="1">
      <alignment horizontal="left" vertical="center" wrapText="1"/>
      <protection locked="0"/>
    </xf>
    <xf numFmtId="0" fontId="6" fillId="0" borderId="21" xfId="0" applyFont="1" applyBorder="1" applyAlignment="1" applyProtection="1">
      <alignment horizontal="left" vertical="center" wrapText="1"/>
      <protection locked="0"/>
    </xf>
    <xf numFmtId="0" fontId="3" fillId="0" borderId="20" xfId="0" applyFont="1" applyBorder="1" applyAlignment="1" applyProtection="1">
      <alignment horizontal="left" vertical="top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1" xfId="0" applyFont="1" applyBorder="1" applyAlignment="1" applyProtection="1">
      <alignment horizontal="left" wrapText="1"/>
      <protection locked="0"/>
    </xf>
    <xf numFmtId="0" fontId="16" fillId="0" borderId="20" xfId="0" quotePrefix="1" applyFont="1" applyBorder="1" applyAlignment="1">
      <alignment horizontal="left" vertical="center" wrapText="1"/>
    </xf>
  </cellXfs>
  <cellStyles count="3">
    <cellStyle name="Followed Hyperlink" xfId="1"/>
    <cellStyle name="Hyperlink" xfId="2"/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260"/>
  <sheetViews>
    <sheetView tabSelected="1" view="pageBreakPreview" zoomScale="175" zoomScaleSheetLayoutView="175" workbookViewId="0">
      <pane ySplit="2" topLeftCell="A229" activePane="bottomLeft" state="frozen"/>
      <selection pane="bottomLeft" activeCell="L238" sqref="L238:P238"/>
    </sheetView>
  </sheetViews>
  <sheetFormatPr defaultColWidth="9" defaultRowHeight="13.2"/>
  <cols>
    <col min="1" max="1" width="2.109375" style="12" customWidth="1"/>
    <col min="2" max="2" width="1.5546875" style="12" customWidth="1"/>
    <col min="3" max="3" width="1.109375" style="1" customWidth="1"/>
    <col min="4" max="4" width="2.5546875" style="1" customWidth="1"/>
    <col min="5" max="5" width="2.44140625" style="1" customWidth="1"/>
    <col min="6" max="6" width="6.44140625" style="1" customWidth="1"/>
    <col min="7" max="7" width="5.109375" style="1" customWidth="1"/>
    <col min="8" max="8" width="5.5546875" style="1" customWidth="1"/>
    <col min="9" max="9" width="6.44140625" style="1" customWidth="1"/>
    <col min="10" max="10" width="2.44140625" style="1" hidden="1" customWidth="1"/>
    <col min="11" max="11" width="10.109375" style="1" customWidth="1"/>
    <col min="12" max="12" width="8.109375" style="1" customWidth="1"/>
    <col min="13" max="13" width="9" style="1"/>
    <col min="14" max="14" width="8.6640625" style="1" customWidth="1"/>
    <col min="15" max="15" width="2.88671875" style="1" customWidth="1"/>
    <col min="16" max="16" width="0.6640625" style="1" customWidth="1"/>
    <col min="17" max="17" width="4.5546875" style="1" customWidth="1"/>
    <col min="18" max="18" width="4" style="1" customWidth="1"/>
    <col min="19" max="19" width="5.5546875" style="1" customWidth="1"/>
    <col min="20" max="20" width="7.44140625" style="1" customWidth="1"/>
    <col min="21" max="21" width="1.5546875" style="1" customWidth="1"/>
    <col min="22" max="22" width="2.44140625" style="1" customWidth="1"/>
    <col min="23" max="16384" width="9" style="1"/>
  </cols>
  <sheetData>
    <row r="1" spans="1:22" ht="39.75" customHeight="1" thickTop="1" thickBot="1">
      <c r="A1" s="202" t="s">
        <v>0</v>
      </c>
      <c r="B1" s="203"/>
      <c r="C1" s="156" t="s">
        <v>1</v>
      </c>
      <c r="D1" s="157"/>
      <c r="E1" s="156" t="s">
        <v>2</v>
      </c>
      <c r="F1" s="157"/>
      <c r="G1" s="156" t="s">
        <v>3</v>
      </c>
      <c r="H1" s="160"/>
      <c r="I1" s="160"/>
      <c r="J1" s="160"/>
      <c r="K1" s="157"/>
      <c r="L1" s="171" t="s">
        <v>4</v>
      </c>
      <c r="M1" s="172"/>
      <c r="N1" s="172"/>
      <c r="O1" s="172"/>
      <c r="P1" s="172"/>
      <c r="Q1" s="173"/>
      <c r="R1" s="154" t="s">
        <v>5</v>
      </c>
      <c r="S1" s="156" t="s">
        <v>6</v>
      </c>
      <c r="T1" s="157"/>
      <c r="U1" s="156" t="s">
        <v>7</v>
      </c>
      <c r="V1" s="157"/>
    </row>
    <row r="2" spans="1:22" ht="24.75" customHeight="1" thickTop="1" thickBot="1">
      <c r="A2" s="204"/>
      <c r="B2" s="205"/>
      <c r="C2" s="158"/>
      <c r="D2" s="159"/>
      <c r="E2" s="158"/>
      <c r="F2" s="159"/>
      <c r="G2" s="158"/>
      <c r="H2" s="161"/>
      <c r="I2" s="161"/>
      <c r="J2" s="161"/>
      <c r="K2" s="159"/>
      <c r="L2" s="162" t="s">
        <v>8</v>
      </c>
      <c r="M2" s="163"/>
      <c r="N2" s="163"/>
      <c r="O2" s="163"/>
      <c r="P2" s="164"/>
      <c r="Q2" s="2" t="s">
        <v>9</v>
      </c>
      <c r="R2" s="155"/>
      <c r="S2" s="158"/>
      <c r="T2" s="159"/>
      <c r="U2" s="158"/>
      <c r="V2" s="159"/>
    </row>
    <row r="3" spans="1:22" ht="14.25" customHeight="1" thickTop="1">
      <c r="A3" s="152">
        <v>1</v>
      </c>
      <c r="B3" s="153"/>
      <c r="C3" s="206"/>
      <c r="D3" s="207"/>
      <c r="E3" s="206"/>
      <c r="F3" s="207"/>
      <c r="G3" s="15" t="s">
        <v>10</v>
      </c>
      <c r="H3" s="16"/>
      <c r="I3" s="16"/>
      <c r="J3" s="16"/>
      <c r="K3" s="17"/>
      <c r="L3" s="147"/>
      <c r="M3" s="208"/>
      <c r="N3" s="208"/>
      <c r="O3" s="208"/>
      <c r="P3" s="148"/>
      <c r="Q3" s="13"/>
      <c r="R3" s="14"/>
      <c r="S3" s="206"/>
      <c r="T3" s="207"/>
      <c r="U3" s="147"/>
      <c r="V3" s="148"/>
    </row>
    <row r="4" spans="1:22" ht="14.25" customHeight="1">
      <c r="A4" s="59">
        <f>A3+1</f>
        <v>2</v>
      </c>
      <c r="B4" s="60"/>
      <c r="C4" s="61"/>
      <c r="D4" s="62"/>
      <c r="E4" s="52" t="s">
        <v>23</v>
      </c>
      <c r="F4" s="53"/>
      <c r="G4" s="54"/>
      <c r="H4" s="55"/>
      <c r="I4" s="55"/>
      <c r="J4" s="55"/>
      <c r="K4" s="56"/>
      <c r="L4" s="165"/>
      <c r="M4" s="166"/>
      <c r="N4" s="166"/>
      <c r="O4" s="166"/>
      <c r="P4" s="167"/>
      <c r="Q4" s="18"/>
      <c r="R4" s="29"/>
      <c r="S4" s="61"/>
      <c r="T4" s="62"/>
      <c r="U4" s="57"/>
      <c r="V4" s="58"/>
    </row>
    <row r="5" spans="1:22" ht="14.25" customHeight="1">
      <c r="A5" s="59">
        <f t="shared" ref="A5:A46" si="0">A4+1</f>
        <v>3</v>
      </c>
      <c r="B5" s="60"/>
      <c r="C5" s="61"/>
      <c r="D5" s="62"/>
      <c r="E5" s="65" t="s">
        <v>24</v>
      </c>
      <c r="F5" s="66"/>
      <c r="G5" s="54"/>
      <c r="H5" s="55"/>
      <c r="I5" s="55"/>
      <c r="J5" s="55"/>
      <c r="K5" s="56"/>
      <c r="L5" s="168"/>
      <c r="M5" s="169"/>
      <c r="N5" s="169"/>
      <c r="O5" s="169"/>
      <c r="P5" s="170"/>
      <c r="Q5" s="36"/>
      <c r="R5" s="19"/>
      <c r="S5" s="61"/>
      <c r="T5" s="62"/>
      <c r="U5" s="57"/>
      <c r="V5" s="58"/>
    </row>
    <row r="6" spans="1:22" ht="14.25" customHeight="1">
      <c r="A6" s="59">
        <f t="shared" si="0"/>
        <v>4</v>
      </c>
      <c r="B6" s="60"/>
      <c r="C6" s="61"/>
      <c r="D6" s="62"/>
      <c r="E6" s="52"/>
      <c r="F6" s="53"/>
      <c r="G6" s="54" t="s">
        <v>31</v>
      </c>
      <c r="H6" s="55"/>
      <c r="I6" s="55"/>
      <c r="J6" s="55"/>
      <c r="K6" s="56"/>
      <c r="L6" s="168" t="s">
        <v>32</v>
      </c>
      <c r="M6" s="169"/>
      <c r="N6" s="169"/>
      <c r="O6" s="169"/>
      <c r="P6" s="170"/>
      <c r="Q6" s="36">
        <f t="shared" ref="Q6" si="1">LEN(PHONETIC(L6:P6))-LEN(SUBSTITUTE(PHONETIC(L6:P6),",",))+1</f>
        <v>5</v>
      </c>
      <c r="R6" s="19"/>
      <c r="S6" s="61"/>
      <c r="T6" s="62"/>
      <c r="U6" s="57"/>
      <c r="V6" s="58"/>
    </row>
    <row r="7" spans="1:22" s="32" customFormat="1" ht="14.25" customHeight="1">
      <c r="A7" s="59">
        <f t="shared" si="0"/>
        <v>5</v>
      </c>
      <c r="B7" s="60"/>
      <c r="C7" s="61"/>
      <c r="D7" s="62"/>
      <c r="E7" s="52"/>
      <c r="F7" s="53"/>
      <c r="G7" s="54" t="s">
        <v>29</v>
      </c>
      <c r="H7" s="55"/>
      <c r="I7" s="55"/>
      <c r="J7" s="55"/>
      <c r="K7" s="56"/>
      <c r="L7" s="168" t="s">
        <v>30</v>
      </c>
      <c r="M7" s="169"/>
      <c r="N7" s="169"/>
      <c r="O7" s="169"/>
      <c r="P7" s="170"/>
      <c r="Q7" s="36">
        <f t="shared" ref="Q7" si="2">LEN(PHONETIC(L7:P7))-LEN(SUBSTITUTE(PHONETIC(L7:P7),",",))+1</f>
        <v>2</v>
      </c>
      <c r="R7" s="38"/>
      <c r="S7" s="61"/>
      <c r="T7" s="62"/>
      <c r="U7" s="57"/>
      <c r="V7" s="58"/>
    </row>
    <row r="8" spans="1:22" ht="14.25" customHeight="1">
      <c r="A8" s="59">
        <f t="shared" si="0"/>
        <v>6</v>
      </c>
      <c r="B8" s="60"/>
      <c r="C8" s="61"/>
      <c r="D8" s="62"/>
      <c r="E8" s="52"/>
      <c r="F8" s="53"/>
      <c r="G8" s="54" t="s">
        <v>33</v>
      </c>
      <c r="H8" s="55"/>
      <c r="I8" s="55"/>
      <c r="J8" s="55"/>
      <c r="K8" s="56"/>
      <c r="L8" s="168" t="s">
        <v>34</v>
      </c>
      <c r="M8" s="169"/>
      <c r="N8" s="169"/>
      <c r="O8" s="169"/>
      <c r="P8" s="170"/>
      <c r="Q8" s="36">
        <f t="shared" ref="Q8:Q9" si="3">LEN(PHONETIC(L8:P8))-LEN(SUBSTITUTE(PHONETIC(L8:P8),",",))+1</f>
        <v>4</v>
      </c>
      <c r="R8" s="19"/>
      <c r="S8" s="61"/>
      <c r="T8" s="62"/>
      <c r="U8" s="57"/>
      <c r="V8" s="58"/>
    </row>
    <row r="9" spans="1:22" ht="14.25" customHeight="1">
      <c r="A9" s="59">
        <f t="shared" si="0"/>
        <v>7</v>
      </c>
      <c r="B9" s="60"/>
      <c r="C9" s="61"/>
      <c r="D9" s="62"/>
      <c r="E9" s="52"/>
      <c r="F9" s="53"/>
      <c r="G9" s="54" t="s">
        <v>38</v>
      </c>
      <c r="H9" s="55"/>
      <c r="I9" s="55"/>
      <c r="J9" s="55"/>
      <c r="K9" s="56"/>
      <c r="L9" s="168" t="s">
        <v>37</v>
      </c>
      <c r="M9" s="169"/>
      <c r="N9" s="169"/>
      <c r="O9" s="169"/>
      <c r="P9" s="170"/>
      <c r="Q9" s="36">
        <f t="shared" si="3"/>
        <v>5</v>
      </c>
      <c r="R9" s="19"/>
      <c r="S9" s="61"/>
      <c r="T9" s="62"/>
      <c r="U9" s="57"/>
      <c r="V9" s="58"/>
    </row>
    <row r="10" spans="1:22" ht="14.25" customHeight="1">
      <c r="A10" s="59">
        <f t="shared" si="0"/>
        <v>8</v>
      </c>
      <c r="B10" s="60"/>
      <c r="C10" s="61"/>
      <c r="D10" s="62"/>
      <c r="E10" s="52"/>
      <c r="F10" s="53"/>
      <c r="G10" s="54" t="s">
        <v>35</v>
      </c>
      <c r="H10" s="55"/>
      <c r="I10" s="55"/>
      <c r="J10" s="55"/>
      <c r="K10" s="56"/>
      <c r="L10" s="168" t="s">
        <v>36</v>
      </c>
      <c r="M10" s="169"/>
      <c r="N10" s="169"/>
      <c r="O10" s="169"/>
      <c r="P10" s="170"/>
      <c r="Q10" s="36">
        <f t="shared" ref="Q10" si="4">LEN(PHONETIC(L10:P10))-LEN(SUBSTITUTE(PHONETIC(L10:P10),",",))+1</f>
        <v>4</v>
      </c>
      <c r="R10" s="30"/>
      <c r="S10" s="61"/>
      <c r="T10" s="62"/>
      <c r="U10" s="57"/>
      <c r="V10" s="58"/>
    </row>
    <row r="11" spans="1:22" ht="14.25" customHeight="1">
      <c r="A11" s="59">
        <f t="shared" si="0"/>
        <v>9</v>
      </c>
      <c r="B11" s="60"/>
      <c r="C11" s="61"/>
      <c r="D11" s="62"/>
      <c r="E11" s="52"/>
      <c r="F11" s="53"/>
      <c r="G11" s="54" t="s">
        <v>39</v>
      </c>
      <c r="H11" s="55"/>
      <c r="I11" s="55"/>
      <c r="J11" s="55"/>
      <c r="K11" s="56"/>
      <c r="L11" s="168" t="s">
        <v>40</v>
      </c>
      <c r="M11" s="169"/>
      <c r="N11" s="169"/>
      <c r="O11" s="169"/>
      <c r="P11" s="170"/>
      <c r="Q11" s="36">
        <f t="shared" ref="Q11" si="5">LEN(PHONETIC(L11:P11))-LEN(SUBSTITUTE(PHONETIC(L11:P11),",",))+1</f>
        <v>3</v>
      </c>
      <c r="R11" s="19"/>
      <c r="S11" s="61"/>
      <c r="T11" s="62"/>
      <c r="U11" s="57"/>
      <c r="V11" s="58"/>
    </row>
    <row r="12" spans="1:22" ht="14.25" customHeight="1">
      <c r="A12" s="59">
        <f t="shared" si="0"/>
        <v>10</v>
      </c>
      <c r="B12" s="60"/>
      <c r="C12" s="61"/>
      <c r="D12" s="62"/>
      <c r="E12" s="52"/>
      <c r="F12" s="53"/>
      <c r="G12" s="54" t="s">
        <v>41</v>
      </c>
      <c r="H12" s="55"/>
      <c r="I12" s="55"/>
      <c r="J12" s="55"/>
      <c r="K12" s="56"/>
      <c r="L12" s="168" t="s">
        <v>42</v>
      </c>
      <c r="M12" s="169"/>
      <c r="N12" s="169"/>
      <c r="O12" s="169"/>
      <c r="P12" s="170"/>
      <c r="Q12" s="36">
        <f t="shared" ref="Q12" si="6">LEN(PHONETIC(L12:P12))-LEN(SUBSTITUTE(PHONETIC(L12:P12),",",))+1</f>
        <v>1</v>
      </c>
      <c r="R12" s="19"/>
      <c r="S12" s="61"/>
      <c r="T12" s="62"/>
      <c r="U12" s="57"/>
      <c r="V12" s="58"/>
    </row>
    <row r="13" spans="1:22" ht="14.25" customHeight="1">
      <c r="A13" s="59">
        <f t="shared" si="0"/>
        <v>11</v>
      </c>
      <c r="B13" s="60"/>
      <c r="C13" s="61"/>
      <c r="D13" s="62"/>
      <c r="E13" s="65"/>
      <c r="F13" s="66"/>
      <c r="G13" s="184" t="s">
        <v>43</v>
      </c>
      <c r="H13" s="185"/>
      <c r="I13" s="185"/>
      <c r="J13" s="185"/>
      <c r="K13" s="186"/>
      <c r="L13" s="193" t="s">
        <v>44</v>
      </c>
      <c r="M13" s="194"/>
      <c r="N13" s="194"/>
      <c r="O13" s="194"/>
      <c r="P13" s="195"/>
      <c r="Q13" s="181">
        <f t="shared" ref="Q13" si="7">LEN(PHONETIC(L13:P13))-LEN(SUBSTITUTE(PHONETIC(L13:P13),",",))+1</f>
        <v>13</v>
      </c>
      <c r="R13" s="18"/>
      <c r="S13" s="61"/>
      <c r="T13" s="62"/>
      <c r="U13" s="57"/>
      <c r="V13" s="58"/>
    </row>
    <row r="14" spans="1:22" ht="14.25" customHeight="1">
      <c r="A14" s="59">
        <f t="shared" si="0"/>
        <v>12</v>
      </c>
      <c r="B14" s="60"/>
      <c r="C14" s="61"/>
      <c r="D14" s="62"/>
      <c r="E14" s="52"/>
      <c r="F14" s="53"/>
      <c r="G14" s="187"/>
      <c r="H14" s="188"/>
      <c r="I14" s="188"/>
      <c r="J14" s="188"/>
      <c r="K14" s="189"/>
      <c r="L14" s="196"/>
      <c r="M14" s="197"/>
      <c r="N14" s="197"/>
      <c r="O14" s="197"/>
      <c r="P14" s="198"/>
      <c r="Q14" s="182"/>
      <c r="R14" s="18"/>
      <c r="S14" s="61"/>
      <c r="T14" s="62"/>
      <c r="U14" s="57"/>
      <c r="V14" s="58"/>
    </row>
    <row r="15" spans="1:22" ht="14.25" customHeight="1">
      <c r="A15" s="59">
        <f t="shared" si="0"/>
        <v>13</v>
      </c>
      <c r="B15" s="60"/>
      <c r="C15" s="61"/>
      <c r="D15" s="62"/>
      <c r="E15" s="52"/>
      <c r="F15" s="53"/>
      <c r="G15" s="190"/>
      <c r="H15" s="191"/>
      <c r="I15" s="191"/>
      <c r="J15" s="191"/>
      <c r="K15" s="192"/>
      <c r="L15" s="199"/>
      <c r="M15" s="200"/>
      <c r="N15" s="200"/>
      <c r="O15" s="200"/>
      <c r="P15" s="201"/>
      <c r="Q15" s="183"/>
      <c r="R15" s="19"/>
      <c r="S15" s="61"/>
      <c r="T15" s="62"/>
      <c r="U15" s="57"/>
      <c r="V15" s="58"/>
    </row>
    <row r="16" spans="1:22" ht="14.25" customHeight="1">
      <c r="A16" s="59">
        <f t="shared" si="0"/>
        <v>14</v>
      </c>
      <c r="B16" s="60"/>
      <c r="C16" s="61"/>
      <c r="D16" s="62"/>
      <c r="E16" s="52"/>
      <c r="F16" s="53"/>
      <c r="G16" s="54" t="s">
        <v>45</v>
      </c>
      <c r="H16" s="55"/>
      <c r="I16" s="55"/>
      <c r="J16" s="55"/>
      <c r="K16" s="56"/>
      <c r="L16" s="168" t="s">
        <v>46</v>
      </c>
      <c r="M16" s="169"/>
      <c r="N16" s="169"/>
      <c r="O16" s="169"/>
      <c r="P16" s="170"/>
      <c r="Q16" s="36">
        <f t="shared" ref="Q16" si="8">LEN(PHONETIC(L16:P16))-LEN(SUBSTITUTE(PHONETIC(L16:P16),",",))+1</f>
        <v>2</v>
      </c>
      <c r="R16" s="18"/>
      <c r="S16" s="61"/>
      <c r="T16" s="62"/>
      <c r="U16" s="57"/>
      <c r="V16" s="58"/>
    </row>
    <row r="17" spans="1:22" ht="14.25" customHeight="1">
      <c r="A17" s="59">
        <f t="shared" si="0"/>
        <v>15</v>
      </c>
      <c r="B17" s="60"/>
      <c r="C17" s="61"/>
      <c r="D17" s="62"/>
      <c r="E17" s="179"/>
      <c r="F17" s="180"/>
      <c r="G17" s="54" t="s">
        <v>47</v>
      </c>
      <c r="H17" s="55"/>
      <c r="I17" s="55"/>
      <c r="J17" s="55"/>
      <c r="K17" s="56"/>
      <c r="L17" s="168" t="s">
        <v>48</v>
      </c>
      <c r="M17" s="169"/>
      <c r="N17" s="169"/>
      <c r="O17" s="169"/>
      <c r="P17" s="170"/>
      <c r="Q17" s="36">
        <f t="shared" ref="Q17" si="9">LEN(PHONETIC(L17:P17))-LEN(SUBSTITUTE(PHONETIC(L17:P17),",",))+1</f>
        <v>1</v>
      </c>
      <c r="R17" s="18"/>
      <c r="S17" s="61"/>
      <c r="T17" s="62"/>
      <c r="U17" s="57"/>
      <c r="V17" s="58"/>
    </row>
    <row r="18" spans="1:22" ht="14.25" customHeight="1">
      <c r="A18" s="59">
        <f t="shared" si="0"/>
        <v>16</v>
      </c>
      <c r="B18" s="60"/>
      <c r="C18" s="61"/>
      <c r="D18" s="62"/>
      <c r="E18" s="179"/>
      <c r="F18" s="180"/>
      <c r="G18" s="54" t="s">
        <v>49</v>
      </c>
      <c r="H18" s="55"/>
      <c r="I18" s="55"/>
      <c r="J18" s="55"/>
      <c r="K18" s="56"/>
      <c r="L18" s="168" t="s">
        <v>50</v>
      </c>
      <c r="M18" s="169"/>
      <c r="N18" s="169"/>
      <c r="O18" s="169"/>
      <c r="P18" s="170"/>
      <c r="Q18" s="36">
        <f t="shared" ref="Q18" si="10">LEN(PHONETIC(L18:P18))-LEN(SUBSTITUTE(PHONETIC(L18:P18),",",))+1</f>
        <v>1</v>
      </c>
      <c r="R18" s="18"/>
      <c r="S18" s="61"/>
      <c r="T18" s="62"/>
      <c r="U18" s="57"/>
      <c r="V18" s="58"/>
    </row>
    <row r="19" spans="1:22" ht="14.25" customHeight="1">
      <c r="A19" s="59">
        <f t="shared" si="0"/>
        <v>17</v>
      </c>
      <c r="B19" s="60"/>
      <c r="C19" s="61"/>
      <c r="D19" s="62"/>
      <c r="E19" s="52"/>
      <c r="F19" s="53"/>
      <c r="G19" s="184" t="s">
        <v>51</v>
      </c>
      <c r="H19" s="185"/>
      <c r="I19" s="185"/>
      <c r="J19" s="185"/>
      <c r="K19" s="186"/>
      <c r="L19" s="193" t="s">
        <v>52</v>
      </c>
      <c r="M19" s="194"/>
      <c r="N19" s="194"/>
      <c r="O19" s="194"/>
      <c r="P19" s="195"/>
      <c r="Q19" s="181">
        <f t="shared" ref="Q19" si="11">LEN(PHONETIC(L19:P19))-LEN(SUBSTITUTE(PHONETIC(L19:P19),",",))+1</f>
        <v>17</v>
      </c>
      <c r="R19" s="18"/>
      <c r="S19" s="209"/>
      <c r="T19" s="210"/>
      <c r="U19" s="57"/>
      <c r="V19" s="58"/>
    </row>
    <row r="20" spans="1:22" ht="14.25" customHeight="1">
      <c r="A20" s="59">
        <f t="shared" si="0"/>
        <v>18</v>
      </c>
      <c r="B20" s="60"/>
      <c r="C20" s="61"/>
      <c r="D20" s="62"/>
      <c r="E20" s="52"/>
      <c r="F20" s="53"/>
      <c r="G20" s="187"/>
      <c r="H20" s="188"/>
      <c r="I20" s="188"/>
      <c r="J20" s="188"/>
      <c r="K20" s="189"/>
      <c r="L20" s="196"/>
      <c r="M20" s="197"/>
      <c r="N20" s="197"/>
      <c r="O20" s="197"/>
      <c r="P20" s="198"/>
      <c r="Q20" s="182"/>
      <c r="R20" s="19"/>
      <c r="S20" s="61"/>
      <c r="T20" s="62"/>
      <c r="U20" s="57"/>
      <c r="V20" s="58"/>
    </row>
    <row r="21" spans="1:22" ht="14.25" customHeight="1">
      <c r="A21" s="59">
        <f t="shared" si="0"/>
        <v>19</v>
      </c>
      <c r="B21" s="60"/>
      <c r="C21" s="61"/>
      <c r="D21" s="62"/>
      <c r="E21" s="52"/>
      <c r="F21" s="53"/>
      <c r="G21" s="190"/>
      <c r="H21" s="191"/>
      <c r="I21" s="191"/>
      <c r="J21" s="191"/>
      <c r="K21" s="192"/>
      <c r="L21" s="199"/>
      <c r="M21" s="200"/>
      <c r="N21" s="200"/>
      <c r="O21" s="200"/>
      <c r="P21" s="201"/>
      <c r="Q21" s="183"/>
      <c r="R21" s="19"/>
      <c r="S21" s="61"/>
      <c r="T21" s="62"/>
      <c r="U21" s="57"/>
      <c r="V21" s="58"/>
    </row>
    <row r="22" spans="1:22" ht="14.25" customHeight="1">
      <c r="A22" s="59">
        <f t="shared" si="0"/>
        <v>20</v>
      </c>
      <c r="B22" s="60"/>
      <c r="C22" s="61"/>
      <c r="D22" s="62"/>
      <c r="E22" s="52"/>
      <c r="F22" s="53"/>
      <c r="G22" s="54" t="s">
        <v>53</v>
      </c>
      <c r="H22" s="55"/>
      <c r="I22" s="55"/>
      <c r="J22" s="55"/>
      <c r="K22" s="56"/>
      <c r="L22" s="168" t="s">
        <v>54</v>
      </c>
      <c r="M22" s="169"/>
      <c r="N22" s="169"/>
      <c r="O22" s="169"/>
      <c r="P22" s="170"/>
      <c r="Q22" s="36">
        <f t="shared" ref="Q22" si="12">LEN(PHONETIC(L22:P22))-LEN(SUBSTITUTE(PHONETIC(L22:P22),",",))+1</f>
        <v>9</v>
      </c>
      <c r="R22" s="18"/>
      <c r="S22" s="61"/>
      <c r="T22" s="62"/>
      <c r="U22" s="57"/>
      <c r="V22" s="58"/>
    </row>
    <row r="23" spans="1:22" ht="14.25" customHeight="1">
      <c r="A23" s="59">
        <f t="shared" si="0"/>
        <v>21</v>
      </c>
      <c r="B23" s="60"/>
      <c r="C23" s="61"/>
      <c r="D23" s="62"/>
      <c r="E23" s="52"/>
      <c r="F23" s="53"/>
      <c r="G23" s="54" t="s">
        <v>55</v>
      </c>
      <c r="H23" s="55"/>
      <c r="I23" s="55"/>
      <c r="J23" s="55"/>
      <c r="K23" s="56"/>
      <c r="L23" s="168" t="s">
        <v>56</v>
      </c>
      <c r="M23" s="169"/>
      <c r="N23" s="169"/>
      <c r="O23" s="169"/>
      <c r="P23" s="170"/>
      <c r="Q23" s="36">
        <f t="shared" ref="Q23" si="13">LEN(PHONETIC(L23:P23))-LEN(SUBSTITUTE(PHONETIC(L23:P23),",",))+1</f>
        <v>2</v>
      </c>
      <c r="R23" s="18"/>
      <c r="S23" s="61"/>
      <c r="T23" s="62"/>
      <c r="U23" s="57"/>
      <c r="V23" s="58"/>
    </row>
    <row r="24" spans="1:22" ht="14.25" customHeight="1">
      <c r="A24" s="59">
        <f t="shared" si="0"/>
        <v>22</v>
      </c>
      <c r="B24" s="60"/>
      <c r="C24" s="61"/>
      <c r="D24" s="62"/>
      <c r="E24" s="52"/>
      <c r="F24" s="53"/>
      <c r="G24" s="54" t="s">
        <v>57</v>
      </c>
      <c r="H24" s="55"/>
      <c r="I24" s="55"/>
      <c r="J24" s="55"/>
      <c r="K24" s="56"/>
      <c r="L24" s="168" t="s">
        <v>58</v>
      </c>
      <c r="M24" s="169"/>
      <c r="N24" s="169"/>
      <c r="O24" s="169"/>
      <c r="P24" s="170"/>
      <c r="Q24" s="36">
        <f t="shared" ref="Q24:Q26" si="14">LEN(PHONETIC(L24:P24))-LEN(SUBSTITUTE(PHONETIC(L24:P24),",",))+1</f>
        <v>1</v>
      </c>
      <c r="R24" s="20"/>
      <c r="S24" s="61"/>
      <c r="T24" s="62"/>
      <c r="U24" s="57"/>
      <c r="V24" s="58"/>
    </row>
    <row r="25" spans="1:22" ht="14.25" customHeight="1">
      <c r="A25" s="59">
        <f t="shared" si="0"/>
        <v>23</v>
      </c>
      <c r="B25" s="60"/>
      <c r="C25" s="61"/>
      <c r="D25" s="62"/>
      <c r="E25" s="52"/>
      <c r="F25" s="53"/>
      <c r="G25" s="54" t="s">
        <v>59</v>
      </c>
      <c r="H25" s="55"/>
      <c r="I25" s="55"/>
      <c r="J25" s="55"/>
      <c r="K25" s="56"/>
      <c r="L25" s="168" t="s">
        <v>60</v>
      </c>
      <c r="M25" s="169"/>
      <c r="N25" s="169"/>
      <c r="O25" s="169"/>
      <c r="P25" s="170"/>
      <c r="Q25" s="36">
        <f t="shared" si="14"/>
        <v>4</v>
      </c>
      <c r="R25" s="19"/>
      <c r="S25" s="61"/>
      <c r="T25" s="62"/>
      <c r="U25" s="57"/>
      <c r="V25" s="58"/>
    </row>
    <row r="26" spans="1:22" s="32" customFormat="1" ht="14.25" customHeight="1">
      <c r="A26" s="59">
        <f t="shared" si="0"/>
        <v>24</v>
      </c>
      <c r="B26" s="60"/>
      <c r="C26" s="61"/>
      <c r="D26" s="62"/>
      <c r="E26" s="52"/>
      <c r="F26" s="53"/>
      <c r="G26" s="54" t="s">
        <v>61</v>
      </c>
      <c r="H26" s="55"/>
      <c r="I26" s="55"/>
      <c r="J26" s="55"/>
      <c r="K26" s="56"/>
      <c r="L26" s="168" t="s">
        <v>62</v>
      </c>
      <c r="M26" s="169"/>
      <c r="N26" s="169"/>
      <c r="O26" s="169"/>
      <c r="P26" s="170"/>
      <c r="Q26" s="36">
        <f t="shared" si="14"/>
        <v>6</v>
      </c>
      <c r="R26" s="37"/>
      <c r="S26" s="61"/>
      <c r="T26" s="62"/>
      <c r="U26" s="57"/>
      <c r="V26" s="58"/>
    </row>
    <row r="27" spans="1:22" ht="14.25" customHeight="1">
      <c r="A27" s="59">
        <f t="shared" si="0"/>
        <v>25</v>
      </c>
      <c r="B27" s="60"/>
      <c r="C27" s="61"/>
      <c r="D27" s="62"/>
      <c r="E27" s="65"/>
      <c r="F27" s="66"/>
      <c r="G27" s="184" t="s">
        <v>63</v>
      </c>
      <c r="H27" s="185"/>
      <c r="I27" s="185"/>
      <c r="J27" s="185"/>
      <c r="K27" s="186"/>
      <c r="L27" s="265" t="s">
        <v>64</v>
      </c>
      <c r="M27" s="266"/>
      <c r="N27" s="266"/>
      <c r="O27" s="266"/>
      <c r="P27" s="267"/>
      <c r="Q27" s="181">
        <f t="shared" ref="Q27" si="15">LEN(PHONETIC(L27:P27))-LEN(SUBSTITUTE(PHONETIC(L27:P27),",",))+1</f>
        <v>9</v>
      </c>
      <c r="R27" s="19"/>
      <c r="S27" s="61"/>
      <c r="T27" s="62"/>
      <c r="U27" s="57"/>
      <c r="V27" s="58"/>
    </row>
    <row r="28" spans="1:22" ht="14.25" customHeight="1">
      <c r="A28" s="59">
        <f t="shared" si="0"/>
        <v>26</v>
      </c>
      <c r="B28" s="60"/>
      <c r="C28" s="61"/>
      <c r="D28" s="62"/>
      <c r="E28" s="52"/>
      <c r="F28" s="53"/>
      <c r="G28" s="190"/>
      <c r="H28" s="191"/>
      <c r="I28" s="191"/>
      <c r="J28" s="191"/>
      <c r="K28" s="192"/>
      <c r="L28" s="268"/>
      <c r="M28" s="269"/>
      <c r="N28" s="269"/>
      <c r="O28" s="269"/>
      <c r="P28" s="270"/>
      <c r="Q28" s="183"/>
      <c r="R28" s="19"/>
      <c r="S28" s="61"/>
      <c r="T28" s="62"/>
      <c r="U28" s="57"/>
      <c r="V28" s="58"/>
    </row>
    <row r="29" spans="1:22" ht="14.25" customHeight="1">
      <c r="A29" s="59">
        <f t="shared" si="0"/>
        <v>27</v>
      </c>
      <c r="B29" s="60"/>
      <c r="C29" s="61"/>
      <c r="D29" s="62"/>
      <c r="E29" s="65"/>
      <c r="F29" s="66"/>
      <c r="G29" s="54" t="s">
        <v>65</v>
      </c>
      <c r="H29" s="55"/>
      <c r="I29" s="55"/>
      <c r="J29" s="55"/>
      <c r="K29" s="56"/>
      <c r="L29" s="168" t="s">
        <v>66</v>
      </c>
      <c r="M29" s="169"/>
      <c r="N29" s="169"/>
      <c r="O29" s="169"/>
      <c r="P29" s="170"/>
      <c r="Q29" s="36">
        <f t="shared" ref="Q29" si="16">LEN(PHONETIC(L29:P29))-LEN(SUBSTITUTE(PHONETIC(L29:P29),",",))+1</f>
        <v>6</v>
      </c>
      <c r="R29" s="19"/>
      <c r="S29" s="61"/>
      <c r="T29" s="62"/>
      <c r="U29" s="57"/>
      <c r="V29" s="58"/>
    </row>
    <row r="30" spans="1:22" ht="14.25" customHeight="1">
      <c r="A30" s="59">
        <f t="shared" si="0"/>
        <v>28</v>
      </c>
      <c r="B30" s="60"/>
      <c r="C30" s="61"/>
      <c r="D30" s="62"/>
      <c r="E30" s="52"/>
      <c r="F30" s="53"/>
      <c r="G30" s="184" t="s">
        <v>67</v>
      </c>
      <c r="H30" s="185"/>
      <c r="I30" s="185"/>
      <c r="J30" s="185"/>
      <c r="K30" s="186"/>
      <c r="L30" s="193" t="s">
        <v>311</v>
      </c>
      <c r="M30" s="194"/>
      <c r="N30" s="194"/>
      <c r="O30" s="194"/>
      <c r="P30" s="195"/>
      <c r="Q30" s="181">
        <f t="shared" ref="Q30" si="17">LEN(PHONETIC(L30:P30))-LEN(SUBSTITUTE(PHONETIC(L30:P30),",",))+1</f>
        <v>31</v>
      </c>
      <c r="R30" s="19"/>
      <c r="S30" s="61"/>
      <c r="T30" s="62"/>
      <c r="U30" s="57"/>
      <c r="V30" s="58"/>
    </row>
    <row r="31" spans="1:22" ht="14.25" customHeight="1">
      <c r="A31" s="59">
        <f t="shared" si="0"/>
        <v>29</v>
      </c>
      <c r="B31" s="60"/>
      <c r="C31" s="61"/>
      <c r="D31" s="62"/>
      <c r="E31" s="52"/>
      <c r="F31" s="53"/>
      <c r="G31" s="187"/>
      <c r="H31" s="188"/>
      <c r="I31" s="188"/>
      <c r="J31" s="188"/>
      <c r="K31" s="189"/>
      <c r="L31" s="196"/>
      <c r="M31" s="197"/>
      <c r="N31" s="197"/>
      <c r="O31" s="197"/>
      <c r="P31" s="198"/>
      <c r="Q31" s="182"/>
      <c r="R31" s="18"/>
      <c r="S31" s="61"/>
      <c r="T31" s="62"/>
      <c r="U31" s="57"/>
      <c r="V31" s="58"/>
    </row>
    <row r="32" spans="1:22" ht="14.25" customHeight="1">
      <c r="A32" s="59">
        <f t="shared" si="0"/>
        <v>30</v>
      </c>
      <c r="B32" s="60"/>
      <c r="C32" s="61"/>
      <c r="D32" s="62"/>
      <c r="E32" s="65"/>
      <c r="F32" s="66"/>
      <c r="G32" s="187"/>
      <c r="H32" s="188"/>
      <c r="I32" s="188"/>
      <c r="J32" s="188"/>
      <c r="K32" s="189"/>
      <c r="L32" s="196"/>
      <c r="M32" s="197"/>
      <c r="N32" s="197"/>
      <c r="O32" s="197"/>
      <c r="P32" s="198"/>
      <c r="Q32" s="182"/>
      <c r="R32" s="18"/>
      <c r="S32" s="61"/>
      <c r="T32" s="62"/>
      <c r="U32" s="57"/>
      <c r="V32" s="58"/>
    </row>
    <row r="33" spans="1:22" ht="14.25" customHeight="1">
      <c r="A33" s="59">
        <f t="shared" si="0"/>
        <v>31</v>
      </c>
      <c r="B33" s="60"/>
      <c r="C33" s="61"/>
      <c r="D33" s="62"/>
      <c r="E33" s="52"/>
      <c r="F33" s="53"/>
      <c r="G33" s="187"/>
      <c r="H33" s="188"/>
      <c r="I33" s="188"/>
      <c r="J33" s="188"/>
      <c r="K33" s="189"/>
      <c r="L33" s="196"/>
      <c r="M33" s="197"/>
      <c r="N33" s="197"/>
      <c r="O33" s="197"/>
      <c r="P33" s="198"/>
      <c r="Q33" s="182"/>
      <c r="R33" s="18"/>
      <c r="S33" s="61"/>
      <c r="T33" s="62"/>
      <c r="U33" s="57"/>
      <c r="V33" s="58"/>
    </row>
    <row r="34" spans="1:22" ht="14.25" customHeight="1">
      <c r="A34" s="59">
        <f t="shared" si="0"/>
        <v>32</v>
      </c>
      <c r="B34" s="60"/>
      <c r="C34" s="61"/>
      <c r="D34" s="62"/>
      <c r="E34" s="65"/>
      <c r="F34" s="66"/>
      <c r="G34" s="190"/>
      <c r="H34" s="191"/>
      <c r="I34" s="191"/>
      <c r="J34" s="191"/>
      <c r="K34" s="192"/>
      <c r="L34" s="199"/>
      <c r="M34" s="200"/>
      <c r="N34" s="200"/>
      <c r="O34" s="200"/>
      <c r="P34" s="201"/>
      <c r="Q34" s="183"/>
      <c r="R34" s="18"/>
      <c r="S34" s="61"/>
      <c r="T34" s="62"/>
      <c r="U34" s="57"/>
      <c r="V34" s="58"/>
    </row>
    <row r="35" spans="1:22" ht="16.5" customHeight="1">
      <c r="A35" s="59">
        <f t="shared" si="0"/>
        <v>33</v>
      </c>
      <c r="B35" s="60"/>
      <c r="C35" s="61"/>
      <c r="D35" s="62"/>
      <c r="E35" s="52"/>
      <c r="F35" s="53"/>
      <c r="G35" s="54" t="s">
        <v>68</v>
      </c>
      <c r="H35" s="55"/>
      <c r="I35" s="55"/>
      <c r="J35" s="55"/>
      <c r="K35" s="56"/>
      <c r="L35" s="168" t="s">
        <v>69</v>
      </c>
      <c r="M35" s="169"/>
      <c r="N35" s="169"/>
      <c r="O35" s="169"/>
      <c r="P35" s="170"/>
      <c r="Q35" s="36">
        <f t="shared" ref="Q35:Q37" si="18">LEN(PHONETIC(L35:P35))-LEN(SUBSTITUTE(PHONETIC(L35:P35),",",))+1</f>
        <v>1</v>
      </c>
      <c r="R35" s="19"/>
      <c r="S35" s="61"/>
      <c r="T35" s="62"/>
      <c r="U35" s="57"/>
      <c r="V35" s="58"/>
    </row>
    <row r="36" spans="1:22" ht="14.25" customHeight="1">
      <c r="A36" s="59">
        <f t="shared" si="0"/>
        <v>34</v>
      </c>
      <c r="B36" s="60"/>
      <c r="C36" s="61"/>
      <c r="D36" s="62"/>
      <c r="E36" s="65"/>
      <c r="F36" s="66"/>
      <c r="G36" s="54" t="s">
        <v>70</v>
      </c>
      <c r="H36" s="55"/>
      <c r="I36" s="55"/>
      <c r="J36" s="55"/>
      <c r="K36" s="56"/>
      <c r="L36" s="168" t="s">
        <v>71</v>
      </c>
      <c r="M36" s="169"/>
      <c r="N36" s="169"/>
      <c r="O36" s="169"/>
      <c r="P36" s="170"/>
      <c r="Q36" s="36">
        <f t="shared" si="18"/>
        <v>1</v>
      </c>
      <c r="R36" s="31"/>
      <c r="S36" s="63"/>
      <c r="T36" s="64"/>
      <c r="U36" s="57"/>
      <c r="V36" s="58"/>
    </row>
    <row r="37" spans="1:22" ht="14.25" customHeight="1">
      <c r="A37" s="59">
        <f t="shared" si="0"/>
        <v>35</v>
      </c>
      <c r="B37" s="60"/>
      <c r="C37" s="61"/>
      <c r="D37" s="62"/>
      <c r="E37" s="52"/>
      <c r="F37" s="53"/>
      <c r="G37" s="184" t="s">
        <v>72</v>
      </c>
      <c r="H37" s="185"/>
      <c r="I37" s="185"/>
      <c r="J37" s="185"/>
      <c r="K37" s="186"/>
      <c r="L37" s="193" t="s">
        <v>73</v>
      </c>
      <c r="M37" s="194"/>
      <c r="N37" s="194"/>
      <c r="O37" s="194"/>
      <c r="P37" s="195"/>
      <c r="Q37" s="181">
        <f t="shared" si="18"/>
        <v>10</v>
      </c>
      <c r="R37" s="31"/>
      <c r="S37" s="63"/>
      <c r="T37" s="64"/>
      <c r="U37" s="57"/>
      <c r="V37" s="58"/>
    </row>
    <row r="38" spans="1:22" ht="14.25" customHeight="1">
      <c r="A38" s="59">
        <f t="shared" si="0"/>
        <v>36</v>
      </c>
      <c r="B38" s="60"/>
      <c r="C38" s="61"/>
      <c r="D38" s="62"/>
      <c r="E38" s="52"/>
      <c r="F38" s="53"/>
      <c r="G38" s="190"/>
      <c r="H38" s="191"/>
      <c r="I38" s="191"/>
      <c r="J38" s="191"/>
      <c r="K38" s="192"/>
      <c r="L38" s="199"/>
      <c r="M38" s="200"/>
      <c r="N38" s="200"/>
      <c r="O38" s="200"/>
      <c r="P38" s="201"/>
      <c r="Q38" s="183"/>
      <c r="R38" s="31"/>
      <c r="S38" s="63"/>
      <c r="T38" s="64"/>
      <c r="U38" s="57"/>
      <c r="V38" s="58"/>
    </row>
    <row r="39" spans="1:22" ht="14.25" customHeight="1">
      <c r="A39" s="59">
        <f t="shared" si="0"/>
        <v>37</v>
      </c>
      <c r="B39" s="60"/>
      <c r="C39" s="61"/>
      <c r="D39" s="62"/>
      <c r="E39" s="215"/>
      <c r="F39" s="216"/>
      <c r="G39" s="54" t="s">
        <v>74</v>
      </c>
      <c r="H39" s="55"/>
      <c r="I39" s="55"/>
      <c r="J39" s="55"/>
      <c r="K39" s="56"/>
      <c r="L39" s="168" t="s">
        <v>75</v>
      </c>
      <c r="M39" s="169"/>
      <c r="N39" s="169"/>
      <c r="O39" s="169"/>
      <c r="P39" s="170"/>
      <c r="Q39" s="36">
        <f t="shared" ref="Q39:Q44" si="19">LEN(PHONETIC(L39:P39))-LEN(SUBSTITUTE(PHONETIC(L39:P39),",",))+1</f>
        <v>1</v>
      </c>
      <c r="R39" s="31"/>
      <c r="S39" s="63"/>
      <c r="T39" s="64"/>
      <c r="U39" s="57"/>
      <c r="V39" s="58"/>
    </row>
    <row r="40" spans="1:22" ht="14.25" customHeight="1">
      <c r="A40" s="59">
        <f t="shared" si="0"/>
        <v>38</v>
      </c>
      <c r="B40" s="60"/>
      <c r="C40" s="61"/>
      <c r="D40" s="62"/>
      <c r="E40" s="65"/>
      <c r="F40" s="66"/>
      <c r="G40" s="54" t="s">
        <v>76</v>
      </c>
      <c r="H40" s="55"/>
      <c r="I40" s="55"/>
      <c r="J40" s="55"/>
      <c r="K40" s="56"/>
      <c r="L40" s="168" t="s">
        <v>77</v>
      </c>
      <c r="M40" s="169"/>
      <c r="N40" s="169"/>
      <c r="O40" s="169"/>
      <c r="P40" s="170"/>
      <c r="Q40" s="36">
        <f t="shared" si="19"/>
        <v>1</v>
      </c>
      <c r="R40" s="31"/>
      <c r="S40" s="63"/>
      <c r="T40" s="64"/>
      <c r="U40" s="57"/>
      <c r="V40" s="58"/>
    </row>
    <row r="41" spans="1:22" ht="14.25" customHeight="1">
      <c r="A41" s="59">
        <f t="shared" si="0"/>
        <v>39</v>
      </c>
      <c r="B41" s="60"/>
      <c r="C41" s="61"/>
      <c r="D41" s="62"/>
      <c r="E41" s="65"/>
      <c r="F41" s="66"/>
      <c r="G41" s="54" t="s">
        <v>78</v>
      </c>
      <c r="H41" s="55"/>
      <c r="I41" s="55"/>
      <c r="J41" s="55"/>
      <c r="K41" s="56"/>
      <c r="L41" s="168" t="s">
        <v>79</v>
      </c>
      <c r="M41" s="169"/>
      <c r="N41" s="169"/>
      <c r="O41" s="169"/>
      <c r="P41" s="170"/>
      <c r="Q41" s="36">
        <f t="shared" si="19"/>
        <v>1</v>
      </c>
      <c r="R41" s="31"/>
      <c r="S41" s="63"/>
      <c r="T41" s="64"/>
      <c r="U41" s="57"/>
      <c r="V41" s="58"/>
    </row>
    <row r="42" spans="1:22" ht="14.25" customHeight="1">
      <c r="A42" s="59">
        <f t="shared" si="0"/>
        <v>40</v>
      </c>
      <c r="B42" s="60"/>
      <c r="C42" s="61"/>
      <c r="D42" s="62"/>
      <c r="E42" s="211"/>
      <c r="F42" s="212"/>
      <c r="G42" s="184" t="s">
        <v>80</v>
      </c>
      <c r="H42" s="185"/>
      <c r="I42" s="185"/>
      <c r="J42" s="185"/>
      <c r="K42" s="186"/>
      <c r="L42" s="193" t="s">
        <v>310</v>
      </c>
      <c r="M42" s="194"/>
      <c r="N42" s="194"/>
      <c r="O42" s="194"/>
      <c r="P42" s="195"/>
      <c r="Q42" s="181">
        <f t="shared" si="19"/>
        <v>9</v>
      </c>
      <c r="R42" s="31"/>
      <c r="S42" s="63"/>
      <c r="T42" s="64"/>
      <c r="U42" s="57"/>
      <c r="V42" s="58"/>
    </row>
    <row r="43" spans="1:22" ht="14.25" customHeight="1">
      <c r="A43" s="59">
        <f t="shared" si="0"/>
        <v>41</v>
      </c>
      <c r="B43" s="60"/>
      <c r="C43" s="61"/>
      <c r="D43" s="62"/>
      <c r="E43" s="52"/>
      <c r="F43" s="53"/>
      <c r="G43" s="190"/>
      <c r="H43" s="191"/>
      <c r="I43" s="191"/>
      <c r="J43" s="191"/>
      <c r="K43" s="192"/>
      <c r="L43" s="199"/>
      <c r="M43" s="200"/>
      <c r="N43" s="200"/>
      <c r="O43" s="200"/>
      <c r="P43" s="201"/>
      <c r="Q43" s="183"/>
      <c r="R43" s="31"/>
      <c r="S43" s="63"/>
      <c r="T43" s="64"/>
      <c r="U43" s="57"/>
      <c r="V43" s="58"/>
    </row>
    <row r="44" spans="1:22" ht="14.25" customHeight="1">
      <c r="A44" s="59">
        <f t="shared" si="0"/>
        <v>42</v>
      </c>
      <c r="B44" s="60"/>
      <c r="C44" s="61"/>
      <c r="D44" s="62"/>
      <c r="E44" s="106"/>
      <c r="F44" s="107"/>
      <c r="G44" s="54" t="s">
        <v>81</v>
      </c>
      <c r="H44" s="55"/>
      <c r="I44" s="55"/>
      <c r="J44" s="55"/>
      <c r="K44" s="56"/>
      <c r="L44" s="168" t="s">
        <v>82</v>
      </c>
      <c r="M44" s="169"/>
      <c r="N44" s="169"/>
      <c r="O44" s="169"/>
      <c r="P44" s="170"/>
      <c r="Q44" s="36">
        <f t="shared" si="19"/>
        <v>2</v>
      </c>
      <c r="R44" s="31"/>
      <c r="S44" s="63"/>
      <c r="T44" s="64"/>
      <c r="U44" s="57"/>
      <c r="V44" s="58"/>
    </row>
    <row r="45" spans="1:22" ht="14.25" customHeight="1">
      <c r="A45" s="59">
        <f t="shared" si="0"/>
        <v>43</v>
      </c>
      <c r="B45" s="60"/>
      <c r="C45" s="61"/>
      <c r="D45" s="62"/>
      <c r="E45" s="52">
        <v>2512</v>
      </c>
      <c r="F45" s="53"/>
      <c r="G45" s="54" t="s">
        <v>152</v>
      </c>
      <c r="H45" s="55"/>
      <c r="I45" s="55"/>
      <c r="J45" s="55"/>
      <c r="K45" s="56"/>
      <c r="L45" s="168" t="s">
        <v>28</v>
      </c>
      <c r="M45" s="169"/>
      <c r="N45" s="169"/>
      <c r="O45" s="169"/>
      <c r="P45" s="170"/>
      <c r="Q45" s="36">
        <f t="shared" ref="Q45:Q46" si="20">LEN(PHONETIC(L45:P45))-LEN(SUBSTITUTE(PHONETIC(L45:P45),",",))+1</f>
        <v>4</v>
      </c>
      <c r="R45" s="31"/>
      <c r="S45" s="63"/>
      <c r="T45" s="64"/>
      <c r="U45" s="57"/>
      <c r="V45" s="58"/>
    </row>
    <row r="46" spans="1:22" ht="14.25" customHeight="1" thickBot="1">
      <c r="A46" s="59">
        <f t="shared" si="0"/>
        <v>44</v>
      </c>
      <c r="B46" s="60"/>
      <c r="C46" s="213"/>
      <c r="D46" s="214"/>
      <c r="E46" s="119"/>
      <c r="F46" s="120"/>
      <c r="G46" s="54" t="s">
        <v>153</v>
      </c>
      <c r="H46" s="55"/>
      <c r="I46" s="55"/>
      <c r="J46" s="55"/>
      <c r="K46" s="56"/>
      <c r="L46" s="168" t="s">
        <v>154</v>
      </c>
      <c r="M46" s="169"/>
      <c r="N46" s="169"/>
      <c r="O46" s="169"/>
      <c r="P46" s="170"/>
      <c r="Q46" s="36">
        <f t="shared" si="20"/>
        <v>1</v>
      </c>
      <c r="R46" s="31"/>
      <c r="S46" s="174"/>
      <c r="T46" s="175"/>
      <c r="U46" s="67"/>
      <c r="V46" s="68"/>
    </row>
    <row r="47" spans="1:22" ht="45" customHeight="1" thickTop="1" thickBot="1">
      <c r="A47" s="33" t="s">
        <v>333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4"/>
    </row>
    <row r="48" spans="1:22" ht="14.25" customHeight="1" thickTop="1">
      <c r="A48" s="149"/>
      <c r="B48" s="150"/>
      <c r="C48" s="149"/>
      <c r="D48" s="150"/>
      <c r="E48" s="151"/>
      <c r="F48" s="141"/>
      <c r="G48" s="142"/>
      <c r="H48" s="21"/>
      <c r="I48" s="22"/>
      <c r="J48" s="23" t="s">
        <v>11</v>
      </c>
      <c r="K48" s="24" t="s">
        <v>22</v>
      </c>
      <c r="L48" s="141"/>
      <c r="M48" s="143"/>
      <c r="N48" s="142"/>
      <c r="O48" s="128"/>
      <c r="P48" s="129"/>
      <c r="Q48" s="129"/>
      <c r="R48" s="129"/>
      <c r="S48" s="129"/>
      <c r="T48" s="129"/>
      <c r="U48" s="129"/>
      <c r="V48" s="130"/>
    </row>
    <row r="49" spans="1:22" ht="14.25" customHeight="1">
      <c r="A49" s="144"/>
      <c r="B49" s="145"/>
      <c r="C49" s="144"/>
      <c r="D49" s="145"/>
      <c r="E49" s="146"/>
      <c r="F49" s="125"/>
      <c r="G49" s="127"/>
      <c r="H49" s="25"/>
      <c r="I49" s="26"/>
      <c r="J49" s="27" t="s">
        <v>12</v>
      </c>
      <c r="K49" s="28" t="s">
        <v>21</v>
      </c>
      <c r="L49" s="125"/>
      <c r="M49" s="126"/>
      <c r="N49" s="127"/>
      <c r="O49" s="131"/>
      <c r="P49" s="132"/>
      <c r="Q49" s="132"/>
      <c r="R49" s="132"/>
      <c r="S49" s="132"/>
      <c r="T49" s="132"/>
      <c r="U49" s="132"/>
      <c r="V49" s="133"/>
    </row>
    <row r="50" spans="1:22" ht="14.25" customHeight="1" thickBot="1">
      <c r="A50" s="144"/>
      <c r="B50" s="145"/>
      <c r="C50" s="144"/>
      <c r="D50" s="145"/>
      <c r="E50" s="146"/>
      <c r="F50" s="125"/>
      <c r="G50" s="127"/>
      <c r="H50" s="25"/>
      <c r="I50" s="26"/>
      <c r="J50" s="27" t="s">
        <v>13</v>
      </c>
      <c r="K50" s="28" t="s">
        <v>20</v>
      </c>
      <c r="L50" s="176"/>
      <c r="M50" s="177"/>
      <c r="N50" s="178"/>
      <c r="O50" s="134"/>
      <c r="P50" s="135"/>
      <c r="Q50" s="135"/>
      <c r="R50" s="135"/>
      <c r="S50" s="135"/>
      <c r="T50" s="135"/>
      <c r="U50" s="135"/>
      <c r="V50" s="136"/>
    </row>
    <row r="51" spans="1:22" ht="22.5" customHeight="1" thickTop="1" thickBot="1">
      <c r="A51" s="114" t="s">
        <v>14</v>
      </c>
      <c r="B51" s="115"/>
      <c r="C51" s="116" t="s">
        <v>9</v>
      </c>
      <c r="D51" s="117"/>
      <c r="E51" s="118"/>
      <c r="F51" s="5" t="s">
        <v>15</v>
      </c>
      <c r="G51" s="6"/>
      <c r="H51" s="7" t="s">
        <v>16</v>
      </c>
      <c r="I51" s="8" t="s">
        <v>17</v>
      </c>
      <c r="J51" s="9"/>
      <c r="K51" s="10" t="s">
        <v>18</v>
      </c>
      <c r="L51" s="137"/>
      <c r="M51" s="137"/>
      <c r="N51" s="138"/>
      <c r="O51" s="139" t="str">
        <f ca="1">"第  " &amp;纵向当前页&amp; "   页  /  共   "    &amp; 总页数 &amp;      "   页"</f>
        <v>第  1   页  /  共   5   页</v>
      </c>
      <c r="P51" s="139"/>
      <c r="Q51" s="139"/>
      <c r="R51" s="139"/>
      <c r="S51" s="139"/>
      <c r="T51" s="139"/>
      <c r="U51" s="139"/>
      <c r="V51" s="140"/>
    </row>
    <row r="52" spans="1:22" s="11" customFormat="1" ht="16.5" customHeight="1" thickTop="1" thickBot="1">
      <c r="A52" s="112" t="s">
        <v>19</v>
      </c>
      <c r="B52" s="112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</row>
    <row r="53" spans="1:22" ht="39.75" customHeight="1" thickTop="1" thickBot="1">
      <c r="A53" s="156" t="s">
        <v>0</v>
      </c>
      <c r="B53" s="157"/>
      <c r="C53" s="156" t="s">
        <v>1</v>
      </c>
      <c r="D53" s="157"/>
      <c r="E53" s="156" t="s">
        <v>2</v>
      </c>
      <c r="F53" s="157"/>
      <c r="G53" s="156" t="s">
        <v>3</v>
      </c>
      <c r="H53" s="160"/>
      <c r="I53" s="160"/>
      <c r="J53" s="160"/>
      <c r="K53" s="157"/>
      <c r="L53" s="171" t="s">
        <v>4</v>
      </c>
      <c r="M53" s="172"/>
      <c r="N53" s="172"/>
      <c r="O53" s="172"/>
      <c r="P53" s="172"/>
      <c r="Q53" s="173"/>
      <c r="R53" s="154" t="s">
        <v>5</v>
      </c>
      <c r="S53" s="156" t="s">
        <v>6</v>
      </c>
      <c r="T53" s="157"/>
      <c r="U53" s="156" t="s">
        <v>7</v>
      </c>
      <c r="V53" s="157"/>
    </row>
    <row r="54" spans="1:22" ht="24.75" customHeight="1" thickTop="1" thickBot="1">
      <c r="A54" s="158"/>
      <c r="B54" s="159"/>
      <c r="C54" s="158"/>
      <c r="D54" s="159"/>
      <c r="E54" s="158"/>
      <c r="F54" s="159"/>
      <c r="G54" s="158"/>
      <c r="H54" s="161"/>
      <c r="I54" s="161"/>
      <c r="J54" s="161"/>
      <c r="K54" s="159"/>
      <c r="L54" s="162" t="s">
        <v>8</v>
      </c>
      <c r="M54" s="163"/>
      <c r="N54" s="163"/>
      <c r="O54" s="163"/>
      <c r="P54" s="164"/>
      <c r="Q54" s="2" t="s">
        <v>9</v>
      </c>
      <c r="R54" s="155"/>
      <c r="S54" s="158"/>
      <c r="T54" s="159"/>
      <c r="U54" s="158"/>
      <c r="V54" s="159"/>
    </row>
    <row r="55" spans="1:22" ht="14.25" customHeight="1" thickTop="1">
      <c r="A55" s="152">
        <f>IF(纵向当前页=1,1,(纵向当前页-1)*44+1)</f>
        <v>45</v>
      </c>
      <c r="B55" s="153"/>
      <c r="C55" s="206"/>
      <c r="D55" s="207"/>
      <c r="E55" s="52" t="s">
        <v>83</v>
      </c>
      <c r="F55" s="53"/>
      <c r="G55" s="77"/>
      <c r="H55" s="75"/>
      <c r="I55" s="75"/>
      <c r="J55" s="75"/>
      <c r="K55" s="76"/>
      <c r="L55" s="105"/>
      <c r="M55" s="99"/>
      <c r="N55" s="99"/>
      <c r="O55" s="99"/>
      <c r="P55" s="100"/>
      <c r="Q55" s="34"/>
      <c r="R55" s="14"/>
      <c r="S55" s="217"/>
      <c r="T55" s="207"/>
      <c r="U55" s="147"/>
      <c r="V55" s="148"/>
    </row>
    <row r="56" spans="1:22" ht="14.25" customHeight="1">
      <c r="A56" s="59">
        <v>46</v>
      </c>
      <c r="B56" s="60"/>
      <c r="C56" s="61"/>
      <c r="D56" s="62"/>
      <c r="E56" s="65" t="s">
        <v>84</v>
      </c>
      <c r="F56" s="66"/>
      <c r="G56" s="184" t="s">
        <v>85</v>
      </c>
      <c r="H56" s="185"/>
      <c r="I56" s="185"/>
      <c r="J56" s="185"/>
      <c r="K56" s="186"/>
      <c r="L56" s="218" t="s">
        <v>86</v>
      </c>
      <c r="M56" s="219"/>
      <c r="N56" s="219"/>
      <c r="O56" s="219"/>
      <c r="P56" s="220"/>
      <c r="Q56" s="181">
        <f t="shared" ref="Q56" si="21">LEN(PHONETIC(L56:P56))-LEN(SUBSTITUTE(PHONETIC(L56:P56),",",))+1</f>
        <v>16</v>
      </c>
      <c r="R56" s="31"/>
      <c r="S56" s="61"/>
      <c r="T56" s="62"/>
      <c r="U56" s="57"/>
      <c r="V56" s="58"/>
    </row>
    <row r="57" spans="1:22" ht="14.25" customHeight="1">
      <c r="A57" s="59">
        <v>47</v>
      </c>
      <c r="B57" s="60"/>
      <c r="C57" s="61"/>
      <c r="D57" s="62"/>
      <c r="E57" s="179"/>
      <c r="F57" s="53"/>
      <c r="G57" s="187"/>
      <c r="H57" s="188"/>
      <c r="I57" s="188"/>
      <c r="J57" s="188"/>
      <c r="K57" s="189"/>
      <c r="L57" s="239"/>
      <c r="M57" s="240"/>
      <c r="N57" s="240"/>
      <c r="O57" s="240"/>
      <c r="P57" s="241"/>
      <c r="Q57" s="182"/>
      <c r="R57" s="31"/>
      <c r="S57" s="61"/>
      <c r="T57" s="62"/>
      <c r="U57" s="57"/>
      <c r="V57" s="58"/>
    </row>
    <row r="58" spans="1:22" ht="14.25" customHeight="1">
      <c r="A58" s="59">
        <v>48</v>
      </c>
      <c r="B58" s="60"/>
      <c r="C58" s="61"/>
      <c r="D58" s="62"/>
      <c r="E58" s="52"/>
      <c r="F58" s="53"/>
      <c r="G58" s="190"/>
      <c r="H58" s="191"/>
      <c r="I58" s="191"/>
      <c r="J58" s="191"/>
      <c r="K58" s="192"/>
      <c r="L58" s="221"/>
      <c r="M58" s="222"/>
      <c r="N58" s="222"/>
      <c r="O58" s="222"/>
      <c r="P58" s="223"/>
      <c r="Q58" s="183"/>
      <c r="R58" s="31"/>
      <c r="S58" s="61"/>
      <c r="T58" s="62"/>
      <c r="U58" s="57"/>
      <c r="V58" s="58"/>
    </row>
    <row r="59" spans="1:22" ht="14.25" customHeight="1">
      <c r="A59" s="59">
        <v>49</v>
      </c>
      <c r="B59" s="60"/>
      <c r="C59" s="61"/>
      <c r="D59" s="62"/>
      <c r="E59" s="52"/>
      <c r="F59" s="53"/>
      <c r="G59" s="54" t="s">
        <v>88</v>
      </c>
      <c r="H59" s="55"/>
      <c r="I59" s="55"/>
      <c r="J59" s="55"/>
      <c r="K59" s="56"/>
      <c r="L59" s="168" t="s">
        <v>87</v>
      </c>
      <c r="M59" s="169"/>
      <c r="N59" s="169"/>
      <c r="O59" s="169"/>
      <c r="P59" s="170"/>
      <c r="Q59" s="36">
        <f t="shared" ref="Q59" si="22">LEN(PHONETIC(L59:P59))-LEN(SUBSTITUTE(PHONETIC(L59:P59),",",))+1</f>
        <v>2</v>
      </c>
      <c r="R59" s="31"/>
      <c r="S59" s="61"/>
      <c r="T59" s="62"/>
      <c r="U59" s="57"/>
      <c r="V59" s="58"/>
    </row>
    <row r="60" spans="1:22" ht="14.25" customHeight="1">
      <c r="A60" s="59">
        <v>50</v>
      </c>
      <c r="B60" s="60"/>
      <c r="C60" s="61"/>
      <c r="D60" s="62"/>
      <c r="E60" s="52"/>
      <c r="F60" s="53"/>
      <c r="G60" s="54" t="s">
        <v>89</v>
      </c>
      <c r="H60" s="55"/>
      <c r="I60" s="55"/>
      <c r="J60" s="55"/>
      <c r="K60" s="56"/>
      <c r="L60" s="168" t="s">
        <v>90</v>
      </c>
      <c r="M60" s="169"/>
      <c r="N60" s="169"/>
      <c r="O60" s="169"/>
      <c r="P60" s="170"/>
      <c r="Q60" s="36">
        <f t="shared" ref="Q60" si="23">LEN(PHONETIC(L60:P60))-LEN(SUBSTITUTE(PHONETIC(L60:P60),",",))+1</f>
        <v>3</v>
      </c>
      <c r="R60" s="31"/>
      <c r="S60" s="61"/>
      <c r="T60" s="62"/>
      <c r="U60" s="57"/>
      <c r="V60" s="58"/>
    </row>
    <row r="61" spans="1:22" ht="14.25" customHeight="1">
      <c r="A61" s="59">
        <v>51</v>
      </c>
      <c r="B61" s="60"/>
      <c r="C61" s="61"/>
      <c r="D61" s="62"/>
      <c r="E61" s="52"/>
      <c r="F61" s="53"/>
      <c r="G61" s="184" t="s">
        <v>91</v>
      </c>
      <c r="H61" s="185"/>
      <c r="I61" s="185"/>
      <c r="J61" s="185"/>
      <c r="K61" s="186"/>
      <c r="L61" s="193" t="s">
        <v>103</v>
      </c>
      <c r="M61" s="194"/>
      <c r="N61" s="194"/>
      <c r="O61" s="194"/>
      <c r="P61" s="195"/>
      <c r="Q61" s="181">
        <f t="shared" ref="Q61" si="24">LEN(PHONETIC(L61:P61))-LEN(SUBSTITUTE(PHONETIC(L61:P61),",",))+1</f>
        <v>39</v>
      </c>
      <c r="R61" s="31"/>
      <c r="S61" s="61"/>
      <c r="T61" s="62"/>
      <c r="U61" s="57"/>
      <c r="V61" s="58"/>
    </row>
    <row r="62" spans="1:22" ht="14.25" customHeight="1">
      <c r="A62" s="59">
        <v>52</v>
      </c>
      <c r="B62" s="60"/>
      <c r="C62" s="61"/>
      <c r="D62" s="62"/>
      <c r="E62" s="71"/>
      <c r="F62" s="72"/>
      <c r="G62" s="187"/>
      <c r="H62" s="188"/>
      <c r="I62" s="188"/>
      <c r="J62" s="188"/>
      <c r="K62" s="189"/>
      <c r="L62" s="196"/>
      <c r="M62" s="197"/>
      <c r="N62" s="197"/>
      <c r="O62" s="197"/>
      <c r="P62" s="198"/>
      <c r="Q62" s="182"/>
      <c r="R62" s="31"/>
      <c r="S62" s="61"/>
      <c r="T62" s="62"/>
      <c r="U62" s="57"/>
      <c r="V62" s="58"/>
    </row>
    <row r="63" spans="1:22" ht="14.25" customHeight="1">
      <c r="A63" s="59">
        <v>53</v>
      </c>
      <c r="B63" s="60"/>
      <c r="C63" s="61"/>
      <c r="D63" s="62"/>
      <c r="E63" s="52"/>
      <c r="F63" s="53"/>
      <c r="G63" s="187"/>
      <c r="H63" s="188"/>
      <c r="I63" s="188"/>
      <c r="J63" s="188"/>
      <c r="K63" s="189"/>
      <c r="L63" s="196"/>
      <c r="M63" s="197"/>
      <c r="N63" s="197"/>
      <c r="O63" s="197"/>
      <c r="P63" s="198"/>
      <c r="Q63" s="182"/>
      <c r="R63" s="31"/>
      <c r="S63" s="61"/>
      <c r="T63" s="62"/>
      <c r="U63" s="57"/>
      <c r="V63" s="58"/>
    </row>
    <row r="64" spans="1:22" ht="14.25" customHeight="1">
      <c r="A64" s="59">
        <v>54</v>
      </c>
      <c r="B64" s="60"/>
      <c r="C64" s="61"/>
      <c r="D64" s="62"/>
      <c r="E64" s="52"/>
      <c r="F64" s="53"/>
      <c r="G64" s="187"/>
      <c r="H64" s="188"/>
      <c r="I64" s="188"/>
      <c r="J64" s="188"/>
      <c r="K64" s="189"/>
      <c r="L64" s="196"/>
      <c r="M64" s="197"/>
      <c r="N64" s="197"/>
      <c r="O64" s="197"/>
      <c r="P64" s="198"/>
      <c r="Q64" s="182"/>
      <c r="R64" s="38"/>
      <c r="S64" s="61"/>
      <c r="T64" s="62"/>
      <c r="U64" s="57"/>
      <c r="V64" s="58"/>
    </row>
    <row r="65" spans="1:22" ht="14.25" customHeight="1">
      <c r="A65" s="59">
        <v>55</v>
      </c>
      <c r="B65" s="60"/>
      <c r="C65" s="61"/>
      <c r="D65" s="62"/>
      <c r="E65" s="52"/>
      <c r="F65" s="53"/>
      <c r="G65" s="190"/>
      <c r="H65" s="191"/>
      <c r="I65" s="191"/>
      <c r="J65" s="191"/>
      <c r="K65" s="192"/>
      <c r="L65" s="199"/>
      <c r="M65" s="200"/>
      <c r="N65" s="200"/>
      <c r="O65" s="200"/>
      <c r="P65" s="201"/>
      <c r="Q65" s="183"/>
      <c r="R65" s="38"/>
      <c r="S65" s="70"/>
      <c r="T65" s="62"/>
      <c r="U65" s="57"/>
      <c r="V65" s="58"/>
    </row>
    <row r="66" spans="1:22" ht="14.25" customHeight="1">
      <c r="A66" s="59">
        <v>56</v>
      </c>
      <c r="B66" s="60"/>
      <c r="C66" s="61"/>
      <c r="D66" s="62"/>
      <c r="E66" s="71" t="s">
        <v>92</v>
      </c>
      <c r="F66" s="53"/>
      <c r="G66" s="77"/>
      <c r="H66" s="75"/>
      <c r="I66" s="75"/>
      <c r="J66" s="75"/>
      <c r="K66" s="76"/>
      <c r="L66" s="105"/>
      <c r="M66" s="108"/>
      <c r="N66" s="108"/>
      <c r="O66" s="108"/>
      <c r="P66" s="58"/>
      <c r="Q66" s="34"/>
      <c r="R66" s="38"/>
      <c r="S66" s="61"/>
      <c r="T66" s="62"/>
      <c r="U66" s="57"/>
      <c r="V66" s="58"/>
    </row>
    <row r="67" spans="1:22" ht="14.25" customHeight="1">
      <c r="A67" s="59">
        <v>57</v>
      </c>
      <c r="B67" s="60"/>
      <c r="C67" s="61"/>
      <c r="D67" s="62"/>
      <c r="E67" s="52" t="s">
        <v>93</v>
      </c>
      <c r="F67" s="53"/>
      <c r="G67" s="109" t="s">
        <v>96</v>
      </c>
      <c r="H67" s="110"/>
      <c r="I67" s="110"/>
      <c r="J67" s="110"/>
      <c r="K67" s="111"/>
      <c r="L67" s="105" t="s">
        <v>97</v>
      </c>
      <c r="M67" s="99"/>
      <c r="N67" s="99"/>
      <c r="O67" s="99"/>
      <c r="P67" s="100"/>
      <c r="Q67" s="36">
        <f t="shared" ref="Q67" si="25">LEN(PHONETIC(L67:P67))-LEN(SUBSTITUTE(PHONETIC(L67:P67),",",))+1</f>
        <v>3</v>
      </c>
      <c r="R67" s="49"/>
      <c r="S67" s="61" t="s">
        <v>95</v>
      </c>
      <c r="T67" s="62"/>
      <c r="U67" s="57"/>
      <c r="V67" s="58"/>
    </row>
    <row r="68" spans="1:22" ht="14.25" customHeight="1">
      <c r="A68" s="59">
        <v>58</v>
      </c>
      <c r="B68" s="60"/>
      <c r="C68" s="61"/>
      <c r="D68" s="62"/>
      <c r="E68" s="52"/>
      <c r="F68" s="53"/>
      <c r="G68" s="109" t="s">
        <v>94</v>
      </c>
      <c r="H68" s="110"/>
      <c r="I68" s="110"/>
      <c r="J68" s="110"/>
      <c r="K68" s="111"/>
      <c r="L68" s="218" t="s">
        <v>98</v>
      </c>
      <c r="M68" s="219"/>
      <c r="N68" s="219"/>
      <c r="O68" s="219"/>
      <c r="P68" s="220"/>
      <c r="Q68" s="36">
        <f t="shared" ref="Q68:Q72" si="26">LEN(PHONETIC(L68:P68))-LEN(SUBSTITUTE(PHONETIC(L68:P68),",",))+1</f>
        <v>7</v>
      </c>
      <c r="R68" s="49"/>
      <c r="S68" s="61" t="s">
        <v>95</v>
      </c>
      <c r="T68" s="62"/>
      <c r="U68" s="57"/>
      <c r="V68" s="58"/>
    </row>
    <row r="69" spans="1:22" ht="14.25" customHeight="1">
      <c r="A69" s="59">
        <v>59</v>
      </c>
      <c r="B69" s="60"/>
      <c r="C69" s="61"/>
      <c r="D69" s="62"/>
      <c r="E69" s="52"/>
      <c r="F69" s="53"/>
      <c r="G69" s="109"/>
      <c r="H69" s="110"/>
      <c r="I69" s="110"/>
      <c r="J69" s="110"/>
      <c r="K69" s="111"/>
      <c r="L69" s="105"/>
      <c r="M69" s="99"/>
      <c r="N69" s="99"/>
      <c r="O69" s="99"/>
      <c r="P69" s="100"/>
      <c r="Q69" s="36"/>
      <c r="R69" s="49"/>
      <c r="S69" s="61"/>
      <c r="T69" s="62"/>
      <c r="U69" s="57"/>
      <c r="V69" s="58"/>
    </row>
    <row r="70" spans="1:22" ht="14.25" customHeight="1">
      <c r="A70" s="59">
        <v>60</v>
      </c>
      <c r="B70" s="60"/>
      <c r="C70" s="61"/>
      <c r="D70" s="62"/>
      <c r="E70" s="106" t="s">
        <v>99</v>
      </c>
      <c r="F70" s="107"/>
      <c r="G70" s="109" t="s">
        <v>100</v>
      </c>
      <c r="H70" s="110"/>
      <c r="I70" s="110"/>
      <c r="J70" s="110"/>
      <c r="K70" s="111"/>
      <c r="L70" s="105" t="s">
        <v>101</v>
      </c>
      <c r="M70" s="99"/>
      <c r="N70" s="99"/>
      <c r="O70" s="99"/>
      <c r="P70" s="100"/>
      <c r="Q70" s="36">
        <f t="shared" si="26"/>
        <v>5</v>
      </c>
      <c r="R70" s="31"/>
      <c r="S70" s="61" t="s">
        <v>102</v>
      </c>
      <c r="T70" s="62"/>
      <c r="U70" s="57"/>
      <c r="V70" s="58"/>
    </row>
    <row r="71" spans="1:22" ht="14.25" customHeight="1">
      <c r="A71" s="59">
        <v>61</v>
      </c>
      <c r="B71" s="60"/>
      <c r="C71" s="61"/>
      <c r="D71" s="62"/>
      <c r="E71" s="106" t="s">
        <v>104</v>
      </c>
      <c r="F71" s="107"/>
      <c r="G71" s="54"/>
      <c r="H71" s="55"/>
      <c r="I71" s="55"/>
      <c r="J71" s="55"/>
      <c r="K71" s="56"/>
      <c r="L71" s="105"/>
      <c r="M71" s="108"/>
      <c r="N71" s="108"/>
      <c r="O71" s="108"/>
      <c r="P71" s="58"/>
      <c r="Q71" s="34"/>
      <c r="R71" s="38"/>
      <c r="S71" s="61"/>
      <c r="T71" s="62"/>
      <c r="U71" s="57"/>
      <c r="V71" s="58"/>
    </row>
    <row r="72" spans="1:22" ht="14.25" customHeight="1">
      <c r="A72" s="59">
        <v>62</v>
      </c>
      <c r="B72" s="60"/>
      <c r="C72" s="61"/>
      <c r="D72" s="62"/>
      <c r="E72" s="106"/>
      <c r="F72" s="107"/>
      <c r="G72" s="77" t="s">
        <v>105</v>
      </c>
      <c r="H72" s="75"/>
      <c r="I72" s="75"/>
      <c r="J72" s="75"/>
      <c r="K72" s="76"/>
      <c r="L72" s="105" t="s">
        <v>106</v>
      </c>
      <c r="M72" s="108"/>
      <c r="N72" s="108"/>
      <c r="O72" s="108"/>
      <c r="P72" s="58"/>
      <c r="Q72" s="36">
        <f t="shared" si="26"/>
        <v>1</v>
      </c>
      <c r="R72" s="38"/>
      <c r="S72" s="61" t="s">
        <v>107</v>
      </c>
      <c r="T72" s="62"/>
      <c r="U72" s="57"/>
      <c r="V72" s="58"/>
    </row>
    <row r="73" spans="1:22" ht="14.25" customHeight="1">
      <c r="A73" s="59">
        <v>63</v>
      </c>
      <c r="B73" s="60"/>
      <c r="C73" s="61"/>
      <c r="D73" s="62"/>
      <c r="E73" s="106" t="s">
        <v>108</v>
      </c>
      <c r="F73" s="107"/>
      <c r="G73" s="77"/>
      <c r="H73" s="75"/>
      <c r="I73" s="75"/>
      <c r="J73" s="75"/>
      <c r="K73" s="76"/>
      <c r="L73" s="105"/>
      <c r="M73" s="99"/>
      <c r="N73" s="99"/>
      <c r="O73" s="99"/>
      <c r="P73" s="100"/>
      <c r="Q73" s="36"/>
      <c r="R73" s="31"/>
      <c r="S73" s="61"/>
      <c r="T73" s="62"/>
      <c r="U73" s="57"/>
      <c r="V73" s="58"/>
    </row>
    <row r="74" spans="1:22" ht="14.25" customHeight="1">
      <c r="A74" s="59">
        <v>64</v>
      </c>
      <c r="B74" s="60"/>
      <c r="C74" s="61"/>
      <c r="D74" s="62"/>
      <c r="E74" s="106"/>
      <c r="F74" s="107"/>
      <c r="G74" s="77" t="s">
        <v>109</v>
      </c>
      <c r="H74" s="75"/>
      <c r="I74" s="75"/>
      <c r="J74" s="75"/>
      <c r="K74" s="76"/>
      <c r="L74" s="105" t="s">
        <v>110</v>
      </c>
      <c r="M74" s="99"/>
      <c r="N74" s="99"/>
      <c r="O74" s="99"/>
      <c r="P74" s="100"/>
      <c r="Q74" s="51">
        <f>LEN(PHONETIC(L74:P74))-LEN(SUBSTITUTE(PHONETIC(L74:P74),",",))+1</f>
        <v>5</v>
      </c>
      <c r="R74" s="31"/>
      <c r="S74" s="61"/>
      <c r="T74" s="62"/>
      <c r="U74" s="57"/>
      <c r="V74" s="58"/>
    </row>
    <row r="75" spans="1:22" ht="14.25" customHeight="1">
      <c r="A75" s="59">
        <v>65</v>
      </c>
      <c r="B75" s="60"/>
      <c r="C75" s="61"/>
      <c r="D75" s="62"/>
      <c r="E75" s="52"/>
      <c r="F75" s="53"/>
      <c r="G75" s="54"/>
      <c r="H75" s="55"/>
      <c r="I75" s="55"/>
      <c r="J75" s="55"/>
      <c r="K75" s="56"/>
      <c r="L75" s="105"/>
      <c r="M75" s="99"/>
      <c r="N75" s="99"/>
      <c r="O75" s="99"/>
      <c r="P75" s="100"/>
      <c r="Q75" s="36"/>
      <c r="R75" s="31"/>
      <c r="S75" s="61"/>
      <c r="T75" s="62"/>
      <c r="U75" s="57"/>
      <c r="V75" s="58"/>
    </row>
    <row r="76" spans="1:22" ht="14.25" customHeight="1">
      <c r="A76" s="59">
        <v>66</v>
      </c>
      <c r="B76" s="60"/>
      <c r="C76" s="61"/>
      <c r="D76" s="62"/>
      <c r="E76" s="52" t="s">
        <v>111</v>
      </c>
      <c r="F76" s="53"/>
      <c r="G76" s="54"/>
      <c r="H76" s="55"/>
      <c r="I76" s="55"/>
      <c r="J76" s="55"/>
      <c r="K76" s="56"/>
      <c r="L76" s="57"/>
      <c r="M76" s="99"/>
      <c r="N76" s="99"/>
      <c r="O76" s="99"/>
      <c r="P76" s="100"/>
      <c r="Q76" s="36"/>
      <c r="R76" s="31"/>
      <c r="S76" s="61"/>
      <c r="T76" s="62"/>
      <c r="U76" s="57"/>
      <c r="V76" s="58"/>
    </row>
    <row r="77" spans="1:22" ht="14.25" customHeight="1">
      <c r="A77" s="59">
        <v>67</v>
      </c>
      <c r="B77" s="60"/>
      <c r="C77" s="61"/>
      <c r="D77" s="62"/>
      <c r="E77" s="52"/>
      <c r="F77" s="53"/>
      <c r="G77" s="184" t="s">
        <v>112</v>
      </c>
      <c r="H77" s="185"/>
      <c r="I77" s="185"/>
      <c r="J77" s="185"/>
      <c r="K77" s="186"/>
      <c r="L77" s="193" t="s">
        <v>317</v>
      </c>
      <c r="M77" s="194"/>
      <c r="N77" s="194"/>
      <c r="O77" s="194"/>
      <c r="P77" s="195"/>
      <c r="Q77" s="181">
        <f>LEN(PHONETIC(L77:P77))-LEN(SUBSTITUTE(PHONETIC(L77:P77),",",))+1</f>
        <v>10</v>
      </c>
      <c r="R77" s="31"/>
      <c r="S77" s="61"/>
      <c r="T77" s="62"/>
      <c r="U77" s="57"/>
      <c r="V77" s="58"/>
    </row>
    <row r="78" spans="1:22" s="32" customFormat="1" ht="14.25" customHeight="1">
      <c r="A78" s="59">
        <v>68</v>
      </c>
      <c r="B78" s="60"/>
      <c r="C78" s="61"/>
      <c r="D78" s="62"/>
      <c r="E78" s="71"/>
      <c r="F78" s="53"/>
      <c r="G78" s="190"/>
      <c r="H78" s="191"/>
      <c r="I78" s="191"/>
      <c r="J78" s="191"/>
      <c r="K78" s="192"/>
      <c r="L78" s="199"/>
      <c r="M78" s="200"/>
      <c r="N78" s="200"/>
      <c r="O78" s="200"/>
      <c r="P78" s="201"/>
      <c r="Q78" s="183"/>
      <c r="R78" s="35"/>
      <c r="S78" s="61"/>
      <c r="T78" s="62"/>
      <c r="U78" s="57"/>
      <c r="V78" s="58"/>
    </row>
    <row r="79" spans="1:22" s="32" customFormat="1" ht="14.25" customHeight="1">
      <c r="A79" s="59">
        <v>69</v>
      </c>
      <c r="B79" s="60"/>
      <c r="C79" s="61"/>
      <c r="D79" s="62"/>
      <c r="E79" s="101"/>
      <c r="F79" s="102"/>
      <c r="G79" s="54" t="s">
        <v>113</v>
      </c>
      <c r="H79" s="55"/>
      <c r="I79" s="55"/>
      <c r="J79" s="55"/>
      <c r="K79" s="56"/>
      <c r="L79" s="92" t="s">
        <v>114</v>
      </c>
      <c r="M79" s="93"/>
      <c r="N79" s="93"/>
      <c r="O79" s="93"/>
      <c r="P79" s="94"/>
      <c r="Q79" s="51">
        <f>LEN(PHONETIC(L79:P79))-LEN(SUBSTITUTE(PHONETIC(L79:P79),",",))+1</f>
        <v>2</v>
      </c>
      <c r="R79" s="35"/>
      <c r="S79" s="61"/>
      <c r="T79" s="62"/>
      <c r="U79" s="57"/>
      <c r="V79" s="58"/>
    </row>
    <row r="80" spans="1:22" s="32" customFormat="1" ht="14.25" customHeight="1">
      <c r="A80" s="59">
        <v>70</v>
      </c>
      <c r="B80" s="60"/>
      <c r="C80" s="61"/>
      <c r="D80" s="62"/>
      <c r="E80" s="103"/>
      <c r="F80" s="104"/>
      <c r="G80" s="54" t="s">
        <v>115</v>
      </c>
      <c r="H80" s="55"/>
      <c r="I80" s="55"/>
      <c r="J80" s="55"/>
      <c r="K80" s="56"/>
      <c r="L80" s="92" t="s">
        <v>116</v>
      </c>
      <c r="M80" s="93"/>
      <c r="N80" s="93"/>
      <c r="O80" s="93"/>
      <c r="P80" s="94"/>
      <c r="Q80" s="51">
        <f>LEN(PHONETIC(L80:P80))-LEN(SUBSTITUTE(PHONETIC(L80:P80),",",))+1</f>
        <v>2</v>
      </c>
      <c r="R80" s="35"/>
      <c r="S80" s="61"/>
      <c r="T80" s="62"/>
      <c r="U80" s="57"/>
      <c r="V80" s="58"/>
    </row>
    <row r="81" spans="1:22" s="32" customFormat="1" ht="14.25" customHeight="1">
      <c r="A81" s="59">
        <v>71</v>
      </c>
      <c r="B81" s="60"/>
      <c r="C81" s="61"/>
      <c r="D81" s="62"/>
      <c r="E81" s="87"/>
      <c r="F81" s="88"/>
      <c r="G81" s="54" t="s">
        <v>117</v>
      </c>
      <c r="H81" s="55"/>
      <c r="I81" s="55"/>
      <c r="J81" s="55"/>
      <c r="K81" s="56"/>
      <c r="L81" s="92" t="s">
        <v>118</v>
      </c>
      <c r="M81" s="93"/>
      <c r="N81" s="93"/>
      <c r="O81" s="93"/>
      <c r="P81" s="94"/>
      <c r="Q81" s="51">
        <f>LEN(PHONETIC(L81:P81))-LEN(SUBSTITUTE(PHONETIC(L81:P81),",",))+1</f>
        <v>4</v>
      </c>
      <c r="R81" s="35"/>
      <c r="S81" s="70"/>
      <c r="T81" s="62"/>
      <c r="U81" s="57"/>
      <c r="V81" s="58"/>
    </row>
    <row r="82" spans="1:22" s="32" customFormat="1" ht="14.25" customHeight="1">
      <c r="A82" s="59">
        <v>72</v>
      </c>
      <c r="B82" s="60"/>
      <c r="C82" s="61"/>
      <c r="D82" s="62"/>
      <c r="E82" s="95" t="s">
        <v>119</v>
      </c>
      <c r="F82" s="96"/>
      <c r="G82" s="89"/>
      <c r="H82" s="90"/>
      <c r="I82" s="90"/>
      <c r="J82" s="90"/>
      <c r="K82" s="91"/>
      <c r="L82" s="74"/>
      <c r="M82" s="97"/>
      <c r="N82" s="97"/>
      <c r="O82" s="97"/>
      <c r="P82" s="98"/>
      <c r="Q82" s="34"/>
      <c r="R82" s="35"/>
      <c r="S82" s="70"/>
      <c r="T82" s="62"/>
      <c r="U82" s="57"/>
      <c r="V82" s="58"/>
    </row>
    <row r="83" spans="1:22" s="32" customFormat="1" ht="14.25" customHeight="1">
      <c r="A83" s="59">
        <v>73</v>
      </c>
      <c r="B83" s="60"/>
      <c r="C83" s="61"/>
      <c r="D83" s="62"/>
      <c r="E83" s="87"/>
      <c r="F83" s="88"/>
      <c r="G83" s="54" t="s">
        <v>120</v>
      </c>
      <c r="H83" s="55"/>
      <c r="I83" s="55"/>
      <c r="J83" s="55"/>
      <c r="K83" s="56"/>
      <c r="L83" s="92" t="s">
        <v>319</v>
      </c>
      <c r="M83" s="93"/>
      <c r="N83" s="93"/>
      <c r="O83" s="93"/>
      <c r="P83" s="94"/>
      <c r="Q83" s="51">
        <f t="shared" ref="Q83" si="27">LEN(PHONETIC(L83:P83))-LEN(SUBSTITUTE(PHONETIC(L83:P83),",",))+1</f>
        <v>3</v>
      </c>
      <c r="R83" s="35"/>
      <c r="S83" s="83"/>
      <c r="T83" s="84"/>
      <c r="U83" s="57"/>
      <c r="V83" s="58"/>
    </row>
    <row r="84" spans="1:22" s="32" customFormat="1" ht="14.25" customHeight="1">
      <c r="A84" s="59">
        <v>74</v>
      </c>
      <c r="B84" s="60"/>
      <c r="C84" s="61"/>
      <c r="D84" s="62"/>
      <c r="E84" s="78"/>
      <c r="F84" s="53"/>
      <c r="G84" s="54" t="s">
        <v>121</v>
      </c>
      <c r="H84" s="55"/>
      <c r="I84" s="55"/>
      <c r="J84" s="55"/>
      <c r="K84" s="56"/>
      <c r="L84" s="92" t="s">
        <v>122</v>
      </c>
      <c r="M84" s="93"/>
      <c r="N84" s="93"/>
      <c r="O84" s="93"/>
      <c r="P84" s="94"/>
      <c r="Q84" s="51">
        <f t="shared" ref="Q84" si="28">LEN(PHONETIC(L84:P84))-LEN(SUBSTITUTE(PHONETIC(L84:P84),",",))+1</f>
        <v>2</v>
      </c>
      <c r="R84" s="35"/>
      <c r="S84" s="85"/>
      <c r="T84" s="86"/>
      <c r="U84" s="57"/>
      <c r="V84" s="58"/>
    </row>
    <row r="85" spans="1:22" s="32" customFormat="1" ht="14.25" customHeight="1">
      <c r="A85" s="59">
        <v>75</v>
      </c>
      <c r="B85" s="60"/>
      <c r="C85" s="61"/>
      <c r="D85" s="62"/>
      <c r="E85" s="52"/>
      <c r="F85" s="53"/>
      <c r="G85" s="54" t="s">
        <v>123</v>
      </c>
      <c r="H85" s="55"/>
      <c r="I85" s="55"/>
      <c r="J85" s="55"/>
      <c r="K85" s="56"/>
      <c r="L85" s="92" t="s">
        <v>124</v>
      </c>
      <c r="M85" s="93"/>
      <c r="N85" s="93"/>
      <c r="O85" s="93"/>
      <c r="P85" s="94"/>
      <c r="Q85" s="51">
        <f t="shared" ref="Q85" si="29">LEN(PHONETIC(L85:P85))-LEN(SUBSTITUTE(PHONETIC(L85:P85),",",))+1</f>
        <v>2</v>
      </c>
      <c r="R85" s="35"/>
      <c r="S85" s="69"/>
      <c r="T85" s="62"/>
      <c r="U85" s="57"/>
      <c r="V85" s="58"/>
    </row>
    <row r="86" spans="1:22" s="32" customFormat="1" ht="14.25" customHeight="1">
      <c r="A86" s="59">
        <v>76</v>
      </c>
      <c r="B86" s="60"/>
      <c r="C86" s="61"/>
      <c r="D86" s="62"/>
      <c r="E86" s="73" t="s">
        <v>125</v>
      </c>
      <c r="F86" s="72"/>
      <c r="G86" s="74"/>
      <c r="H86" s="75"/>
      <c r="I86" s="75"/>
      <c r="J86" s="75"/>
      <c r="K86" s="76"/>
      <c r="L86" s="77"/>
      <c r="M86" s="75"/>
      <c r="N86" s="75"/>
      <c r="O86" s="75"/>
      <c r="P86" s="76"/>
      <c r="Q86" s="34"/>
      <c r="R86" s="35"/>
      <c r="S86" s="69"/>
      <c r="T86" s="62"/>
      <c r="U86" s="57"/>
      <c r="V86" s="58"/>
    </row>
    <row r="87" spans="1:22" s="32" customFormat="1" ht="14.25" customHeight="1">
      <c r="A87" s="59">
        <v>77</v>
      </c>
      <c r="B87" s="60"/>
      <c r="C87" s="61"/>
      <c r="D87" s="62"/>
      <c r="E87" s="52"/>
      <c r="F87" s="53"/>
      <c r="G87" s="184" t="s">
        <v>126</v>
      </c>
      <c r="H87" s="185"/>
      <c r="I87" s="185"/>
      <c r="J87" s="185"/>
      <c r="K87" s="186"/>
      <c r="L87" s="218" t="s">
        <v>127</v>
      </c>
      <c r="M87" s="219"/>
      <c r="N87" s="219"/>
      <c r="O87" s="219"/>
      <c r="P87" s="220"/>
      <c r="Q87" s="181">
        <f t="shared" ref="Q87" si="30">LEN(PHONETIC(L87:P87))-LEN(SUBSTITUTE(PHONETIC(L87:P87),",",))+1</f>
        <v>8</v>
      </c>
      <c r="R87" s="38"/>
      <c r="S87" s="61" t="s">
        <v>128</v>
      </c>
      <c r="T87" s="62"/>
      <c r="U87" s="57"/>
      <c r="V87" s="58"/>
    </row>
    <row r="88" spans="1:22" s="32" customFormat="1" ht="14.25" customHeight="1">
      <c r="A88" s="59">
        <v>78</v>
      </c>
      <c r="B88" s="60"/>
      <c r="C88" s="61"/>
      <c r="D88" s="62"/>
      <c r="E88" s="52"/>
      <c r="F88" s="53"/>
      <c r="G88" s="190"/>
      <c r="H88" s="191"/>
      <c r="I88" s="191"/>
      <c r="J88" s="191"/>
      <c r="K88" s="192"/>
      <c r="L88" s="221"/>
      <c r="M88" s="222"/>
      <c r="N88" s="222"/>
      <c r="O88" s="222"/>
      <c r="P88" s="223"/>
      <c r="Q88" s="183"/>
      <c r="R88" s="35"/>
      <c r="S88" s="61"/>
      <c r="T88" s="62"/>
      <c r="U88" s="57"/>
      <c r="V88" s="58"/>
    </row>
    <row r="89" spans="1:22" s="32" customFormat="1" ht="14.25" customHeight="1">
      <c r="A89" s="59">
        <v>79</v>
      </c>
      <c r="B89" s="60"/>
      <c r="C89" s="61"/>
      <c r="D89" s="62"/>
      <c r="E89" s="71"/>
      <c r="F89" s="72"/>
      <c r="G89" s="224" t="s">
        <v>129</v>
      </c>
      <c r="H89" s="225"/>
      <c r="I89" s="225"/>
      <c r="J89" s="225"/>
      <c r="K89" s="226"/>
      <c r="L89" s="218" t="s">
        <v>130</v>
      </c>
      <c r="M89" s="219"/>
      <c r="N89" s="219"/>
      <c r="O89" s="219"/>
      <c r="P89" s="220"/>
      <c r="Q89" s="230">
        <f t="shared" ref="Q89" si="31">LEN(PHONETIC(L89:P89))-LEN(SUBSTITUTE(PHONETIC(L89:P89),",",))+1</f>
        <v>9</v>
      </c>
      <c r="R89" s="35"/>
      <c r="S89" s="69"/>
      <c r="T89" s="62"/>
      <c r="U89" s="57"/>
      <c r="V89" s="58"/>
    </row>
    <row r="90" spans="1:22" s="32" customFormat="1" ht="14.25" customHeight="1">
      <c r="A90" s="59">
        <v>80</v>
      </c>
      <c r="B90" s="60"/>
      <c r="C90" s="61"/>
      <c r="D90" s="62"/>
      <c r="E90" s="71"/>
      <c r="F90" s="72"/>
      <c r="G90" s="227"/>
      <c r="H90" s="228"/>
      <c r="I90" s="228"/>
      <c r="J90" s="228"/>
      <c r="K90" s="229"/>
      <c r="L90" s="221"/>
      <c r="M90" s="222"/>
      <c r="N90" s="222"/>
      <c r="O90" s="222"/>
      <c r="P90" s="223"/>
      <c r="Q90" s="231"/>
      <c r="R90" s="35"/>
      <c r="S90" s="61"/>
      <c r="T90" s="62"/>
      <c r="U90" s="57"/>
      <c r="V90" s="58"/>
    </row>
    <row r="91" spans="1:22" s="32" customFormat="1" ht="14.25" customHeight="1">
      <c r="A91" s="59">
        <v>81</v>
      </c>
      <c r="B91" s="60"/>
      <c r="C91" s="61"/>
      <c r="D91" s="62"/>
      <c r="E91" s="52"/>
      <c r="F91" s="53"/>
      <c r="G91" s="89" t="s">
        <v>131</v>
      </c>
      <c r="H91" s="90"/>
      <c r="I91" s="90"/>
      <c r="J91" s="90"/>
      <c r="K91" s="91"/>
      <c r="L91" s="74" t="s">
        <v>133</v>
      </c>
      <c r="M91" s="75"/>
      <c r="N91" s="75"/>
      <c r="O91" s="75"/>
      <c r="P91" s="76"/>
      <c r="Q91" s="34">
        <f t="shared" ref="Q91:Q92" si="32">LEN(PHONETIC(L91:P91))-LEN(SUBSTITUTE(PHONETIC(L91:P91),",",))+1</f>
        <v>3</v>
      </c>
      <c r="R91" s="49"/>
      <c r="S91" s="70" t="s">
        <v>132</v>
      </c>
      <c r="T91" s="62"/>
      <c r="U91" s="57"/>
      <c r="V91" s="58"/>
    </row>
    <row r="92" spans="1:22" s="32" customFormat="1" ht="14.25" customHeight="1">
      <c r="A92" s="59">
        <v>82</v>
      </c>
      <c r="B92" s="60"/>
      <c r="C92" s="61"/>
      <c r="D92" s="62"/>
      <c r="E92" s="52"/>
      <c r="F92" s="53"/>
      <c r="G92" s="54" t="s">
        <v>134</v>
      </c>
      <c r="H92" s="55"/>
      <c r="I92" s="55"/>
      <c r="J92" s="55"/>
      <c r="K92" s="56"/>
      <c r="L92" s="82" t="s">
        <v>318</v>
      </c>
      <c r="M92" s="75"/>
      <c r="N92" s="75"/>
      <c r="O92" s="75"/>
      <c r="P92" s="76"/>
      <c r="Q92" s="34">
        <f t="shared" si="32"/>
        <v>8</v>
      </c>
      <c r="R92" s="49"/>
      <c r="S92" s="70" t="s">
        <v>132</v>
      </c>
      <c r="T92" s="62"/>
      <c r="U92" s="57"/>
      <c r="V92" s="58"/>
    </row>
    <row r="93" spans="1:22" s="32" customFormat="1" ht="14.25" customHeight="1">
      <c r="A93" s="59">
        <v>83</v>
      </c>
      <c r="B93" s="60"/>
      <c r="C93" s="61"/>
      <c r="D93" s="62"/>
      <c r="E93" s="52" t="s">
        <v>135</v>
      </c>
      <c r="F93" s="53"/>
      <c r="G93" s="77"/>
      <c r="H93" s="75"/>
      <c r="I93" s="75"/>
      <c r="J93" s="75"/>
      <c r="K93" s="76"/>
      <c r="L93" s="79"/>
      <c r="M93" s="80"/>
      <c r="N93" s="80"/>
      <c r="O93" s="80"/>
      <c r="P93" s="81"/>
      <c r="Q93" s="34"/>
      <c r="R93" s="35"/>
      <c r="S93" s="61"/>
      <c r="T93" s="62"/>
      <c r="U93" s="57"/>
      <c r="V93" s="58"/>
    </row>
    <row r="94" spans="1:22" s="32" customFormat="1" ht="14.25" customHeight="1">
      <c r="A94" s="59">
        <v>84</v>
      </c>
      <c r="B94" s="60"/>
      <c r="C94" s="61"/>
      <c r="D94" s="62"/>
      <c r="E94" s="52"/>
      <c r="F94" s="53"/>
      <c r="G94" s="77" t="s">
        <v>136</v>
      </c>
      <c r="H94" s="75"/>
      <c r="I94" s="75"/>
      <c r="J94" s="75"/>
      <c r="K94" s="76"/>
      <c r="L94" s="79" t="s">
        <v>142</v>
      </c>
      <c r="M94" s="80"/>
      <c r="N94" s="80"/>
      <c r="O94" s="80"/>
      <c r="P94" s="81"/>
      <c r="Q94" s="34">
        <f t="shared" ref="Q94:Q98" si="33">LEN(PHONETIC(L94:P94))-LEN(SUBSTITUTE(PHONETIC(L94:P94),",",))+1</f>
        <v>7</v>
      </c>
      <c r="R94" s="49"/>
      <c r="S94" s="61" t="s">
        <v>137</v>
      </c>
      <c r="T94" s="62"/>
      <c r="U94" s="57"/>
      <c r="V94" s="58"/>
    </row>
    <row r="95" spans="1:22" ht="14.25" customHeight="1">
      <c r="A95" s="59">
        <v>85</v>
      </c>
      <c r="B95" s="60"/>
      <c r="C95" s="61"/>
      <c r="D95" s="62"/>
      <c r="E95" s="52"/>
      <c r="F95" s="53"/>
      <c r="G95" s="77" t="s">
        <v>138</v>
      </c>
      <c r="H95" s="75"/>
      <c r="I95" s="75"/>
      <c r="J95" s="75"/>
      <c r="K95" s="76"/>
      <c r="L95" s="105" t="s">
        <v>143</v>
      </c>
      <c r="M95" s="99"/>
      <c r="N95" s="99"/>
      <c r="O95" s="99"/>
      <c r="P95" s="100"/>
      <c r="Q95" s="34">
        <f t="shared" si="33"/>
        <v>1</v>
      </c>
      <c r="R95" s="49"/>
      <c r="S95" s="61" t="s">
        <v>132</v>
      </c>
      <c r="T95" s="62"/>
      <c r="U95" s="57"/>
      <c r="V95" s="58"/>
    </row>
    <row r="96" spans="1:22" ht="14.25" customHeight="1">
      <c r="A96" s="59">
        <v>86</v>
      </c>
      <c r="B96" s="60"/>
      <c r="C96" s="61"/>
      <c r="D96" s="62"/>
      <c r="E96" s="101"/>
      <c r="F96" s="102"/>
      <c r="G96" s="74" t="s">
        <v>139</v>
      </c>
      <c r="H96" s="75"/>
      <c r="I96" s="75"/>
      <c r="J96" s="75"/>
      <c r="K96" s="76"/>
      <c r="L96" s="105" t="s">
        <v>140</v>
      </c>
      <c r="M96" s="99"/>
      <c r="N96" s="99"/>
      <c r="O96" s="99"/>
      <c r="P96" s="100"/>
      <c r="Q96" s="34">
        <f t="shared" si="33"/>
        <v>4</v>
      </c>
      <c r="R96" s="49"/>
      <c r="S96" s="61" t="s">
        <v>132</v>
      </c>
      <c r="T96" s="62"/>
      <c r="U96" s="57"/>
      <c r="V96" s="58"/>
    </row>
    <row r="97" spans="1:22" ht="14.25" customHeight="1">
      <c r="A97" s="59">
        <v>87</v>
      </c>
      <c r="B97" s="60"/>
      <c r="C97" s="61"/>
      <c r="D97" s="62"/>
      <c r="E97" s="101"/>
      <c r="F97" s="102"/>
      <c r="G97" s="77" t="s">
        <v>141</v>
      </c>
      <c r="H97" s="75"/>
      <c r="I97" s="75"/>
      <c r="J97" s="75"/>
      <c r="K97" s="76"/>
      <c r="L97" s="105" t="s">
        <v>144</v>
      </c>
      <c r="M97" s="99"/>
      <c r="N97" s="99"/>
      <c r="O97" s="99"/>
      <c r="P97" s="100"/>
      <c r="Q97" s="34">
        <f t="shared" si="33"/>
        <v>3</v>
      </c>
      <c r="R97" s="49"/>
      <c r="S97" s="61" t="s">
        <v>137</v>
      </c>
      <c r="T97" s="62"/>
      <c r="U97" s="57"/>
      <c r="V97" s="58"/>
    </row>
    <row r="98" spans="1:22" ht="14.25" customHeight="1" thickBot="1">
      <c r="A98" s="59">
        <v>88</v>
      </c>
      <c r="B98" s="60"/>
      <c r="C98" s="61"/>
      <c r="D98" s="62"/>
      <c r="E98" s="119"/>
      <c r="F98" s="120"/>
      <c r="G98" s="77" t="s">
        <v>145</v>
      </c>
      <c r="H98" s="121"/>
      <c r="I98" s="121"/>
      <c r="J98" s="121"/>
      <c r="K98" s="122"/>
      <c r="L98" s="105" t="s">
        <v>146</v>
      </c>
      <c r="M98" s="123"/>
      <c r="N98" s="123"/>
      <c r="O98" s="123"/>
      <c r="P98" s="124"/>
      <c r="Q98" s="34">
        <f t="shared" si="33"/>
        <v>2</v>
      </c>
      <c r="R98" s="40"/>
      <c r="S98" s="61" t="s">
        <v>137</v>
      </c>
      <c r="T98" s="62"/>
      <c r="U98" s="57"/>
      <c r="V98" s="58"/>
    </row>
    <row r="99" spans="1:22" ht="45" customHeight="1" thickTop="1" thickBot="1">
      <c r="A99" s="33" t="str">
        <f>A47</f>
        <v>GAN7.820.5607-2清单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4"/>
    </row>
    <row r="100" spans="1:22" ht="14.25" customHeight="1" thickTop="1">
      <c r="A100" s="149"/>
      <c r="B100" s="150"/>
      <c r="C100" s="149"/>
      <c r="D100" s="150"/>
      <c r="E100" s="151"/>
      <c r="F100" s="141"/>
      <c r="G100" s="142"/>
      <c r="H100" s="21"/>
      <c r="I100" s="22"/>
      <c r="J100" s="23" t="s">
        <v>11</v>
      </c>
      <c r="K100" s="24" t="s">
        <v>22</v>
      </c>
      <c r="L100" s="141"/>
      <c r="M100" s="143"/>
      <c r="N100" s="142"/>
      <c r="O100" s="128"/>
      <c r="P100" s="129"/>
      <c r="Q100" s="129"/>
      <c r="R100" s="129"/>
      <c r="S100" s="129"/>
      <c r="T100" s="129"/>
      <c r="U100" s="129"/>
      <c r="V100" s="130"/>
    </row>
    <row r="101" spans="1:22" ht="14.25" customHeight="1">
      <c r="A101" s="144"/>
      <c r="B101" s="145"/>
      <c r="C101" s="144"/>
      <c r="D101" s="145"/>
      <c r="E101" s="146"/>
      <c r="F101" s="125"/>
      <c r="G101" s="127"/>
      <c r="H101" s="25"/>
      <c r="I101" s="26"/>
      <c r="J101" s="27" t="s">
        <v>12</v>
      </c>
      <c r="K101" s="28" t="s">
        <v>21</v>
      </c>
      <c r="L101" s="125"/>
      <c r="M101" s="126"/>
      <c r="N101" s="127"/>
      <c r="O101" s="131"/>
      <c r="P101" s="132"/>
      <c r="Q101" s="132"/>
      <c r="R101" s="132"/>
      <c r="S101" s="132"/>
      <c r="T101" s="132"/>
      <c r="U101" s="132"/>
      <c r="V101" s="133"/>
    </row>
    <row r="102" spans="1:22" ht="14.25" customHeight="1" thickBot="1">
      <c r="A102" s="144"/>
      <c r="B102" s="145"/>
      <c r="C102" s="144"/>
      <c r="D102" s="145"/>
      <c r="E102" s="146"/>
      <c r="F102" s="125"/>
      <c r="G102" s="127"/>
      <c r="H102" s="25"/>
      <c r="I102" s="26"/>
      <c r="J102" s="27" t="s">
        <v>13</v>
      </c>
      <c r="K102" s="28" t="s">
        <v>20</v>
      </c>
      <c r="L102" s="125"/>
      <c r="M102" s="126"/>
      <c r="N102" s="127"/>
      <c r="O102" s="134"/>
      <c r="P102" s="135"/>
      <c r="Q102" s="135"/>
      <c r="R102" s="135"/>
      <c r="S102" s="135"/>
      <c r="T102" s="135"/>
      <c r="U102" s="135"/>
      <c r="V102" s="136"/>
    </row>
    <row r="103" spans="1:22" ht="22.5" customHeight="1" thickTop="1" thickBot="1">
      <c r="A103" s="114" t="s">
        <v>14</v>
      </c>
      <c r="B103" s="115"/>
      <c r="C103" s="116" t="s">
        <v>9</v>
      </c>
      <c r="D103" s="117"/>
      <c r="E103" s="118"/>
      <c r="F103" s="5" t="s">
        <v>15</v>
      </c>
      <c r="G103" s="6"/>
      <c r="H103" s="7" t="s">
        <v>16</v>
      </c>
      <c r="I103" s="8" t="s">
        <v>17</v>
      </c>
      <c r="J103" s="9"/>
      <c r="K103" s="10" t="s">
        <v>18</v>
      </c>
      <c r="L103" s="137"/>
      <c r="M103" s="137"/>
      <c r="N103" s="138"/>
      <c r="O103" s="139" t="str">
        <f ca="1">"第  " &amp;纵向当前页&amp; "   页  /  共   "    &amp; 总页数 &amp;      "   页"</f>
        <v>第  2   页  /  共   5   页</v>
      </c>
      <c r="P103" s="139"/>
      <c r="Q103" s="139"/>
      <c r="R103" s="139"/>
      <c r="S103" s="139"/>
      <c r="T103" s="139"/>
      <c r="U103" s="139"/>
      <c r="V103" s="140"/>
    </row>
    <row r="104" spans="1:22" s="11" customFormat="1" ht="16.5" customHeight="1" thickTop="1" thickBot="1">
      <c r="A104" s="112" t="s">
        <v>19</v>
      </c>
      <c r="B104" s="112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</row>
    <row r="105" spans="1:22" s="32" customFormat="1" ht="39.75" customHeight="1" thickTop="1" thickBot="1">
      <c r="A105" s="156" t="s">
        <v>0</v>
      </c>
      <c r="B105" s="157"/>
      <c r="C105" s="156" t="s">
        <v>1</v>
      </c>
      <c r="D105" s="157"/>
      <c r="E105" s="156" t="s">
        <v>2</v>
      </c>
      <c r="F105" s="157"/>
      <c r="G105" s="156" t="s">
        <v>3</v>
      </c>
      <c r="H105" s="160"/>
      <c r="I105" s="160"/>
      <c r="J105" s="160"/>
      <c r="K105" s="157"/>
      <c r="L105" s="171" t="s">
        <v>4</v>
      </c>
      <c r="M105" s="172"/>
      <c r="N105" s="172"/>
      <c r="O105" s="172"/>
      <c r="P105" s="172"/>
      <c r="Q105" s="173"/>
      <c r="R105" s="154" t="s">
        <v>5</v>
      </c>
      <c r="S105" s="156" t="s">
        <v>6</v>
      </c>
      <c r="T105" s="157"/>
      <c r="U105" s="156" t="s">
        <v>7</v>
      </c>
      <c r="V105" s="157"/>
    </row>
    <row r="106" spans="1:22" s="32" customFormat="1" ht="24.75" customHeight="1" thickTop="1" thickBot="1">
      <c r="A106" s="158"/>
      <c r="B106" s="159"/>
      <c r="C106" s="158"/>
      <c r="D106" s="159"/>
      <c r="E106" s="158"/>
      <c r="F106" s="159"/>
      <c r="G106" s="158"/>
      <c r="H106" s="161"/>
      <c r="I106" s="161"/>
      <c r="J106" s="161"/>
      <c r="K106" s="159"/>
      <c r="L106" s="162" t="s">
        <v>8</v>
      </c>
      <c r="M106" s="163"/>
      <c r="N106" s="163"/>
      <c r="O106" s="163"/>
      <c r="P106" s="164"/>
      <c r="Q106" s="2" t="s">
        <v>9</v>
      </c>
      <c r="R106" s="155"/>
      <c r="S106" s="158"/>
      <c r="T106" s="159"/>
      <c r="U106" s="158"/>
      <c r="V106" s="159"/>
    </row>
    <row r="107" spans="1:22" s="32" customFormat="1" ht="14.25" customHeight="1" thickTop="1">
      <c r="A107" s="152">
        <f>IF(纵向当前页=1,1,(纵向当前页-1)*44+1)</f>
        <v>89</v>
      </c>
      <c r="B107" s="153"/>
      <c r="C107" s="206"/>
      <c r="D107" s="207"/>
      <c r="E107" s="101" t="s">
        <v>135</v>
      </c>
      <c r="F107" s="102"/>
      <c r="G107" s="77" t="s">
        <v>147</v>
      </c>
      <c r="H107" s="75"/>
      <c r="I107" s="75"/>
      <c r="J107" s="75"/>
      <c r="K107" s="76"/>
      <c r="L107" s="105" t="s">
        <v>148</v>
      </c>
      <c r="M107" s="99"/>
      <c r="N107" s="99"/>
      <c r="O107" s="99"/>
      <c r="P107" s="100"/>
      <c r="Q107" s="34">
        <f t="shared" ref="Q107:Q108" si="34">LEN(PHONETIC(L107:P107))-LEN(SUBSTITUTE(PHONETIC(L107:P107),",",))+1</f>
        <v>2</v>
      </c>
      <c r="R107" s="41"/>
      <c r="S107" s="61" t="s">
        <v>137</v>
      </c>
      <c r="T107" s="62"/>
      <c r="U107" s="147"/>
      <c r="V107" s="148"/>
    </row>
    <row r="108" spans="1:22" s="32" customFormat="1" ht="14.25" customHeight="1">
      <c r="A108" s="59">
        <v>46</v>
      </c>
      <c r="B108" s="60"/>
      <c r="C108" s="61"/>
      <c r="D108" s="62"/>
      <c r="E108" s="65"/>
      <c r="F108" s="66"/>
      <c r="G108" s="77" t="s">
        <v>149</v>
      </c>
      <c r="H108" s="75"/>
      <c r="I108" s="75"/>
      <c r="J108" s="75"/>
      <c r="K108" s="76"/>
      <c r="L108" s="105" t="s">
        <v>150</v>
      </c>
      <c r="M108" s="99"/>
      <c r="N108" s="99"/>
      <c r="O108" s="99"/>
      <c r="P108" s="100"/>
      <c r="Q108" s="34">
        <f t="shared" si="34"/>
        <v>2</v>
      </c>
      <c r="R108" s="40"/>
      <c r="S108" s="61" t="s">
        <v>151</v>
      </c>
      <c r="T108" s="62"/>
      <c r="U108" s="57"/>
      <c r="V108" s="58"/>
    </row>
    <row r="109" spans="1:22" s="32" customFormat="1" ht="14.25" customHeight="1">
      <c r="A109" s="59">
        <v>47</v>
      </c>
      <c r="B109" s="60"/>
      <c r="C109" s="61"/>
      <c r="D109" s="62"/>
      <c r="E109" s="179"/>
      <c r="F109" s="53"/>
      <c r="G109" s="77"/>
      <c r="H109" s="75"/>
      <c r="I109" s="75"/>
      <c r="J109" s="75"/>
      <c r="K109" s="76"/>
      <c r="L109" s="105"/>
      <c r="M109" s="99"/>
      <c r="N109" s="99"/>
      <c r="O109" s="99"/>
      <c r="P109" s="100"/>
      <c r="Q109" s="34"/>
      <c r="R109" s="40"/>
      <c r="S109" s="61"/>
      <c r="T109" s="62"/>
      <c r="U109" s="57"/>
      <c r="V109" s="58"/>
    </row>
    <row r="110" spans="1:22" s="32" customFormat="1" ht="14.25" customHeight="1">
      <c r="A110" s="59">
        <v>48</v>
      </c>
      <c r="B110" s="60"/>
      <c r="C110" s="61"/>
      <c r="D110" s="62"/>
      <c r="E110" s="71" t="s">
        <v>155</v>
      </c>
      <c r="F110" s="72"/>
      <c r="G110" s="77"/>
      <c r="H110" s="75"/>
      <c r="I110" s="75"/>
      <c r="J110" s="75"/>
      <c r="K110" s="76"/>
      <c r="L110" s="232"/>
      <c r="M110" s="233"/>
      <c r="N110" s="233"/>
      <c r="O110" s="233"/>
      <c r="P110" s="234"/>
      <c r="Q110" s="34"/>
      <c r="R110" s="40"/>
      <c r="S110" s="61"/>
      <c r="T110" s="62"/>
      <c r="U110" s="57"/>
      <c r="V110" s="58"/>
    </row>
    <row r="111" spans="1:22" s="32" customFormat="1" ht="14.25" customHeight="1">
      <c r="A111" s="59">
        <v>49</v>
      </c>
      <c r="B111" s="60"/>
      <c r="C111" s="61"/>
      <c r="D111" s="62"/>
      <c r="E111" s="52"/>
      <c r="F111" s="53"/>
      <c r="G111" s="77" t="s">
        <v>156</v>
      </c>
      <c r="H111" s="75"/>
      <c r="I111" s="75"/>
      <c r="J111" s="75"/>
      <c r="K111" s="76"/>
      <c r="L111" s="235" t="s">
        <v>157</v>
      </c>
      <c r="M111" s="236"/>
      <c r="N111" s="236"/>
      <c r="O111" s="236"/>
      <c r="P111" s="237"/>
      <c r="Q111" s="34">
        <f t="shared" ref="Q111:Q113" si="35">LEN(PHONETIC(L111:P111))-LEN(SUBSTITUTE(PHONETIC(L111:P111),",",))+1</f>
        <v>1</v>
      </c>
      <c r="R111" s="40"/>
      <c r="S111" s="61" t="s">
        <v>151</v>
      </c>
      <c r="T111" s="62"/>
      <c r="U111" s="57"/>
      <c r="V111" s="58"/>
    </row>
    <row r="112" spans="1:22" s="32" customFormat="1" ht="14.25" customHeight="1">
      <c r="A112" s="59">
        <v>50</v>
      </c>
      <c r="B112" s="60"/>
      <c r="C112" s="61"/>
      <c r="D112" s="62"/>
      <c r="E112" s="52"/>
      <c r="F112" s="53"/>
      <c r="G112" s="238" t="s">
        <v>158</v>
      </c>
      <c r="H112" s="55"/>
      <c r="I112" s="55"/>
      <c r="J112" s="55"/>
      <c r="K112" s="56"/>
      <c r="L112" s="168" t="s">
        <v>159</v>
      </c>
      <c r="M112" s="169"/>
      <c r="N112" s="169"/>
      <c r="O112" s="169"/>
      <c r="P112" s="170"/>
      <c r="Q112" s="34">
        <f t="shared" si="35"/>
        <v>2</v>
      </c>
      <c r="R112" s="40"/>
      <c r="S112" s="61" t="s">
        <v>151</v>
      </c>
      <c r="T112" s="62"/>
      <c r="U112" s="57"/>
      <c r="V112" s="58"/>
    </row>
    <row r="113" spans="1:22" s="32" customFormat="1" ht="14.25" customHeight="1">
      <c r="A113" s="59">
        <v>51</v>
      </c>
      <c r="B113" s="60"/>
      <c r="C113" s="61"/>
      <c r="D113" s="62"/>
      <c r="E113" s="52"/>
      <c r="F113" s="53"/>
      <c r="G113" s="218" t="s">
        <v>160</v>
      </c>
      <c r="H113" s="219"/>
      <c r="I113" s="219"/>
      <c r="J113" s="219"/>
      <c r="K113" s="220"/>
      <c r="L113" s="193" t="s">
        <v>161</v>
      </c>
      <c r="M113" s="194"/>
      <c r="N113" s="194"/>
      <c r="O113" s="194"/>
      <c r="P113" s="195"/>
      <c r="Q113" s="181">
        <f t="shared" si="35"/>
        <v>16</v>
      </c>
      <c r="R113" s="40"/>
      <c r="S113" s="70" t="s">
        <v>162</v>
      </c>
      <c r="T113" s="62"/>
      <c r="U113" s="57"/>
      <c r="V113" s="58"/>
    </row>
    <row r="114" spans="1:22" s="32" customFormat="1" ht="14.25" customHeight="1">
      <c r="A114" s="59">
        <v>52</v>
      </c>
      <c r="B114" s="60"/>
      <c r="C114" s="61"/>
      <c r="D114" s="62"/>
      <c r="E114" s="71"/>
      <c r="F114" s="72"/>
      <c r="G114" s="239"/>
      <c r="H114" s="240"/>
      <c r="I114" s="240"/>
      <c r="J114" s="240"/>
      <c r="K114" s="241"/>
      <c r="L114" s="196"/>
      <c r="M114" s="197"/>
      <c r="N114" s="197"/>
      <c r="O114" s="197"/>
      <c r="P114" s="198"/>
      <c r="Q114" s="182"/>
      <c r="R114" s="40"/>
      <c r="S114" s="61"/>
      <c r="T114" s="62"/>
      <c r="U114" s="57"/>
      <c r="V114" s="58"/>
    </row>
    <row r="115" spans="1:22" s="32" customFormat="1" ht="14.25" customHeight="1">
      <c r="A115" s="59">
        <v>53</v>
      </c>
      <c r="B115" s="60"/>
      <c r="C115" s="61"/>
      <c r="D115" s="62"/>
      <c r="E115" s="52"/>
      <c r="F115" s="53"/>
      <c r="G115" s="221"/>
      <c r="H115" s="222"/>
      <c r="I115" s="222"/>
      <c r="J115" s="222"/>
      <c r="K115" s="223"/>
      <c r="L115" s="199"/>
      <c r="M115" s="200"/>
      <c r="N115" s="200"/>
      <c r="O115" s="200"/>
      <c r="P115" s="201"/>
      <c r="Q115" s="183"/>
      <c r="R115" s="40"/>
      <c r="S115" s="61"/>
      <c r="T115" s="62"/>
      <c r="U115" s="57"/>
      <c r="V115" s="58"/>
    </row>
    <row r="116" spans="1:22" s="32" customFormat="1" ht="14.25" customHeight="1">
      <c r="A116" s="59">
        <v>54</v>
      </c>
      <c r="B116" s="60"/>
      <c r="C116" s="61"/>
      <c r="D116" s="62"/>
      <c r="E116" s="52"/>
      <c r="F116" s="53"/>
      <c r="G116" s="74" t="s">
        <v>163</v>
      </c>
      <c r="H116" s="75"/>
      <c r="I116" s="75"/>
      <c r="J116" s="75"/>
      <c r="K116" s="76"/>
      <c r="L116" s="105" t="s">
        <v>164</v>
      </c>
      <c r="M116" s="99"/>
      <c r="N116" s="99"/>
      <c r="O116" s="99"/>
      <c r="P116" s="100"/>
      <c r="Q116" s="34">
        <f t="shared" ref="Q116:Q118" si="36">LEN(PHONETIC(L116:P116))-LEN(SUBSTITUTE(PHONETIC(L116:P116),",",))+1</f>
        <v>2</v>
      </c>
      <c r="R116" s="40"/>
      <c r="S116" s="70" t="s">
        <v>162</v>
      </c>
      <c r="T116" s="62"/>
      <c r="U116" s="57"/>
      <c r="V116" s="58"/>
    </row>
    <row r="117" spans="1:22" s="32" customFormat="1" ht="14.25" customHeight="1">
      <c r="A117" s="59">
        <v>55</v>
      </c>
      <c r="B117" s="60"/>
      <c r="C117" s="61"/>
      <c r="D117" s="62"/>
      <c r="E117" s="52" t="s">
        <v>165</v>
      </c>
      <c r="F117" s="53"/>
      <c r="G117" s="74"/>
      <c r="H117" s="75"/>
      <c r="I117" s="75"/>
      <c r="J117" s="75"/>
      <c r="K117" s="76"/>
      <c r="L117" s="105"/>
      <c r="M117" s="99"/>
      <c r="N117" s="99"/>
      <c r="O117" s="99"/>
      <c r="P117" s="100"/>
      <c r="Q117" s="34"/>
      <c r="R117" s="40"/>
      <c r="S117" s="61"/>
      <c r="T117" s="62"/>
      <c r="U117" s="57"/>
      <c r="V117" s="58"/>
    </row>
    <row r="118" spans="1:22" s="32" customFormat="1" ht="14.25" customHeight="1">
      <c r="A118" s="59">
        <v>56</v>
      </c>
      <c r="B118" s="60"/>
      <c r="C118" s="61"/>
      <c r="D118" s="62"/>
      <c r="E118" s="52"/>
      <c r="F118" s="53"/>
      <c r="G118" s="74" t="s">
        <v>166</v>
      </c>
      <c r="H118" s="75"/>
      <c r="I118" s="75"/>
      <c r="J118" s="75"/>
      <c r="K118" s="76"/>
      <c r="L118" s="105" t="s">
        <v>168</v>
      </c>
      <c r="M118" s="108"/>
      <c r="N118" s="108"/>
      <c r="O118" s="108"/>
      <c r="P118" s="58"/>
      <c r="Q118" s="34">
        <f t="shared" si="36"/>
        <v>2</v>
      </c>
      <c r="R118" s="40"/>
      <c r="S118" s="70" t="s">
        <v>167</v>
      </c>
      <c r="T118" s="62"/>
      <c r="U118" s="57"/>
      <c r="V118" s="58"/>
    </row>
    <row r="119" spans="1:22" s="32" customFormat="1" ht="14.25" customHeight="1">
      <c r="A119" s="59">
        <v>57</v>
      </c>
      <c r="B119" s="60"/>
      <c r="C119" s="61"/>
      <c r="D119" s="62"/>
      <c r="E119" s="52" t="s">
        <v>169</v>
      </c>
      <c r="F119" s="53"/>
      <c r="G119" s="77"/>
      <c r="H119" s="75"/>
      <c r="I119" s="75"/>
      <c r="J119" s="75"/>
      <c r="K119" s="76"/>
      <c r="L119" s="242"/>
      <c r="M119" s="243"/>
      <c r="N119" s="243"/>
      <c r="O119" s="243"/>
      <c r="P119" s="244"/>
      <c r="Q119" s="36"/>
      <c r="R119" s="40"/>
      <c r="S119" s="61"/>
      <c r="T119" s="62"/>
      <c r="U119" s="57"/>
      <c r="V119" s="58"/>
    </row>
    <row r="120" spans="1:22" s="32" customFormat="1" ht="14.25" customHeight="1">
      <c r="A120" s="59">
        <v>58</v>
      </c>
      <c r="B120" s="60"/>
      <c r="C120" s="61"/>
      <c r="D120" s="62"/>
      <c r="E120" s="52"/>
      <c r="F120" s="53"/>
      <c r="G120" s="218" t="s">
        <v>170</v>
      </c>
      <c r="H120" s="219"/>
      <c r="I120" s="219"/>
      <c r="J120" s="219"/>
      <c r="K120" s="220"/>
      <c r="L120" s="218" t="s">
        <v>172</v>
      </c>
      <c r="M120" s="219"/>
      <c r="N120" s="219"/>
      <c r="O120" s="219"/>
      <c r="P120" s="220"/>
      <c r="Q120" s="181">
        <f t="shared" ref="Q120:Q122" si="37">LEN(PHONETIC(L120:P120))-LEN(SUBSTITUTE(PHONETIC(L120:P120),",",))+1</f>
        <v>8</v>
      </c>
      <c r="R120" s="40"/>
      <c r="S120" s="61" t="s">
        <v>171</v>
      </c>
      <c r="T120" s="62"/>
      <c r="U120" s="57"/>
      <c r="V120" s="58"/>
    </row>
    <row r="121" spans="1:22" s="32" customFormat="1" ht="14.25" customHeight="1">
      <c r="A121" s="59">
        <v>59</v>
      </c>
      <c r="B121" s="60"/>
      <c r="C121" s="61"/>
      <c r="D121" s="62"/>
      <c r="E121" s="52"/>
      <c r="F121" s="53"/>
      <c r="G121" s="221"/>
      <c r="H121" s="222"/>
      <c r="I121" s="222"/>
      <c r="J121" s="222"/>
      <c r="K121" s="223"/>
      <c r="L121" s="221"/>
      <c r="M121" s="222"/>
      <c r="N121" s="222"/>
      <c r="O121" s="222"/>
      <c r="P121" s="223"/>
      <c r="Q121" s="183"/>
      <c r="R121" s="40"/>
      <c r="S121" s="61"/>
      <c r="T121" s="62"/>
      <c r="U121" s="57"/>
      <c r="V121" s="58"/>
    </row>
    <row r="122" spans="1:22" s="32" customFormat="1" ht="14.25" customHeight="1">
      <c r="A122" s="59">
        <v>60</v>
      </c>
      <c r="B122" s="60"/>
      <c r="C122" s="61"/>
      <c r="D122" s="62"/>
      <c r="E122" s="106"/>
      <c r="F122" s="107"/>
      <c r="G122" s="245" t="s">
        <v>309</v>
      </c>
      <c r="H122" s="246"/>
      <c r="I122" s="246"/>
      <c r="J122" s="246"/>
      <c r="K122" s="247"/>
      <c r="L122" s="218" t="s">
        <v>173</v>
      </c>
      <c r="M122" s="219"/>
      <c r="N122" s="219"/>
      <c r="O122" s="219"/>
      <c r="P122" s="220"/>
      <c r="Q122" s="181">
        <f t="shared" si="37"/>
        <v>6</v>
      </c>
      <c r="R122" s="40"/>
      <c r="S122" s="61"/>
      <c r="T122" s="62"/>
      <c r="U122" s="57"/>
      <c r="V122" s="58"/>
    </row>
    <row r="123" spans="1:22" s="32" customFormat="1" ht="14.25" customHeight="1">
      <c r="A123" s="59">
        <v>61</v>
      </c>
      <c r="B123" s="60"/>
      <c r="C123" s="61"/>
      <c r="D123" s="62"/>
      <c r="E123" s="106"/>
      <c r="F123" s="107"/>
      <c r="G123" s="248"/>
      <c r="H123" s="249"/>
      <c r="I123" s="249"/>
      <c r="J123" s="249"/>
      <c r="K123" s="250"/>
      <c r="L123" s="221"/>
      <c r="M123" s="222"/>
      <c r="N123" s="222"/>
      <c r="O123" s="222"/>
      <c r="P123" s="223"/>
      <c r="Q123" s="183"/>
      <c r="R123" s="40"/>
      <c r="S123" s="61"/>
      <c r="T123" s="62"/>
      <c r="U123" s="57"/>
      <c r="V123" s="58"/>
    </row>
    <row r="124" spans="1:22" s="32" customFormat="1" ht="14.25" customHeight="1">
      <c r="A124" s="59">
        <v>62</v>
      </c>
      <c r="B124" s="60"/>
      <c r="C124" s="61"/>
      <c r="D124" s="62"/>
      <c r="E124" s="106" t="s">
        <v>174</v>
      </c>
      <c r="F124" s="107"/>
      <c r="G124" s="77"/>
      <c r="H124" s="75"/>
      <c r="I124" s="75"/>
      <c r="J124" s="75"/>
      <c r="K124" s="76"/>
      <c r="L124" s="105"/>
      <c r="M124" s="108"/>
      <c r="N124" s="108"/>
      <c r="O124" s="108"/>
      <c r="P124" s="58"/>
      <c r="Q124" s="36"/>
      <c r="R124" s="40"/>
      <c r="S124" s="61"/>
      <c r="T124" s="62"/>
      <c r="U124" s="57"/>
      <c r="V124" s="58"/>
    </row>
    <row r="125" spans="1:22" s="32" customFormat="1" ht="14.25" customHeight="1">
      <c r="A125" s="59">
        <v>63</v>
      </c>
      <c r="B125" s="60"/>
      <c r="C125" s="61"/>
      <c r="D125" s="62"/>
      <c r="E125" s="106"/>
      <c r="F125" s="107"/>
      <c r="G125" s="74" t="s">
        <v>175</v>
      </c>
      <c r="H125" s="75"/>
      <c r="I125" s="75"/>
      <c r="J125" s="75"/>
      <c r="K125" s="76"/>
      <c r="L125" s="105" t="s">
        <v>176</v>
      </c>
      <c r="M125" s="99"/>
      <c r="N125" s="99"/>
      <c r="O125" s="99"/>
      <c r="P125" s="100"/>
      <c r="Q125" s="34">
        <f t="shared" ref="Q125:Q130" si="38">LEN(PHONETIC(L125:P125))-LEN(SUBSTITUTE(PHONETIC(L125:P125),",",))+1</f>
        <v>3</v>
      </c>
      <c r="R125" s="40"/>
      <c r="S125" s="61"/>
      <c r="T125" s="62"/>
      <c r="U125" s="57"/>
      <c r="V125" s="58"/>
    </row>
    <row r="126" spans="1:22" s="32" customFormat="1" ht="14.25" customHeight="1">
      <c r="A126" s="59">
        <v>64</v>
      </c>
      <c r="B126" s="60"/>
      <c r="C126" s="61"/>
      <c r="D126" s="62"/>
      <c r="E126" s="106"/>
      <c r="F126" s="107"/>
      <c r="G126" s="77" t="s">
        <v>177</v>
      </c>
      <c r="H126" s="75"/>
      <c r="I126" s="75"/>
      <c r="J126" s="75"/>
      <c r="K126" s="76"/>
      <c r="L126" s="105" t="s">
        <v>178</v>
      </c>
      <c r="M126" s="99"/>
      <c r="N126" s="99"/>
      <c r="O126" s="99"/>
      <c r="P126" s="100"/>
      <c r="Q126" s="34">
        <f t="shared" si="38"/>
        <v>2</v>
      </c>
      <c r="R126" s="40"/>
      <c r="S126" s="61"/>
      <c r="T126" s="62"/>
      <c r="U126" s="57"/>
      <c r="V126" s="58"/>
    </row>
    <row r="127" spans="1:22" s="32" customFormat="1" ht="14.25" customHeight="1">
      <c r="A127" s="59">
        <v>65</v>
      </c>
      <c r="B127" s="60"/>
      <c r="C127" s="61"/>
      <c r="D127" s="62"/>
      <c r="E127" s="52"/>
      <c r="F127" s="53"/>
      <c r="G127" s="54" t="s">
        <v>179</v>
      </c>
      <c r="H127" s="55"/>
      <c r="I127" s="55"/>
      <c r="J127" s="55"/>
      <c r="K127" s="56"/>
      <c r="L127" s="105" t="s">
        <v>180</v>
      </c>
      <c r="M127" s="99"/>
      <c r="N127" s="99"/>
      <c r="O127" s="99"/>
      <c r="P127" s="100"/>
      <c r="Q127" s="34">
        <f t="shared" si="38"/>
        <v>1</v>
      </c>
      <c r="R127" s="40"/>
      <c r="S127" s="61"/>
      <c r="T127" s="62"/>
      <c r="U127" s="57"/>
      <c r="V127" s="58"/>
    </row>
    <row r="128" spans="1:22" s="32" customFormat="1" ht="14.25" customHeight="1">
      <c r="A128" s="59">
        <v>66</v>
      </c>
      <c r="B128" s="60"/>
      <c r="C128" s="61"/>
      <c r="D128" s="62"/>
      <c r="E128" s="71" t="s">
        <v>181</v>
      </c>
      <c r="F128" s="72"/>
      <c r="G128" s="54"/>
      <c r="H128" s="55"/>
      <c r="I128" s="55"/>
      <c r="J128" s="55"/>
      <c r="K128" s="56"/>
      <c r="L128" s="105"/>
      <c r="M128" s="99"/>
      <c r="N128" s="99"/>
      <c r="O128" s="99"/>
      <c r="P128" s="100"/>
      <c r="Q128" s="36"/>
      <c r="R128" s="40"/>
      <c r="S128" s="61"/>
      <c r="T128" s="62"/>
      <c r="U128" s="57"/>
      <c r="V128" s="58"/>
    </row>
    <row r="129" spans="1:22" s="32" customFormat="1" ht="14.25" customHeight="1">
      <c r="A129" s="59">
        <v>67</v>
      </c>
      <c r="B129" s="60"/>
      <c r="C129" s="61"/>
      <c r="D129" s="62"/>
      <c r="E129" s="52"/>
      <c r="F129" s="53"/>
      <c r="G129" s="74" t="s">
        <v>182</v>
      </c>
      <c r="H129" s="75"/>
      <c r="I129" s="75"/>
      <c r="J129" s="75"/>
      <c r="K129" s="76"/>
      <c r="L129" s="105" t="s">
        <v>183</v>
      </c>
      <c r="M129" s="99"/>
      <c r="N129" s="99"/>
      <c r="O129" s="99"/>
      <c r="P129" s="100"/>
      <c r="Q129" s="34">
        <f t="shared" si="38"/>
        <v>4</v>
      </c>
      <c r="R129" s="40"/>
      <c r="S129" s="70" t="s">
        <v>162</v>
      </c>
      <c r="T129" s="62"/>
      <c r="U129" s="57"/>
      <c r="V129" s="58"/>
    </row>
    <row r="130" spans="1:22" s="32" customFormat="1" ht="14.25" customHeight="1">
      <c r="A130" s="59">
        <v>68</v>
      </c>
      <c r="B130" s="60"/>
      <c r="C130" s="61"/>
      <c r="D130" s="62"/>
      <c r="E130" s="71"/>
      <c r="F130" s="53"/>
      <c r="G130" s="54" t="s">
        <v>184</v>
      </c>
      <c r="H130" s="55"/>
      <c r="I130" s="55"/>
      <c r="J130" s="55"/>
      <c r="K130" s="56"/>
      <c r="L130" s="79" t="s">
        <v>185</v>
      </c>
      <c r="M130" s="80"/>
      <c r="N130" s="80"/>
      <c r="O130" s="80"/>
      <c r="P130" s="81"/>
      <c r="Q130" s="34">
        <f t="shared" si="38"/>
        <v>4</v>
      </c>
      <c r="R130" s="40"/>
      <c r="S130" s="61"/>
      <c r="T130" s="62"/>
      <c r="U130" s="57"/>
      <c r="V130" s="58"/>
    </row>
    <row r="131" spans="1:22" s="32" customFormat="1" ht="14.25" customHeight="1">
      <c r="A131" s="59">
        <v>69</v>
      </c>
      <c r="B131" s="60"/>
      <c r="C131" s="61"/>
      <c r="D131" s="62"/>
      <c r="E131" s="71"/>
      <c r="F131" s="72"/>
      <c r="G131" s="54" t="s">
        <v>186</v>
      </c>
      <c r="H131" s="55"/>
      <c r="I131" s="55"/>
      <c r="J131" s="55"/>
      <c r="K131" s="56"/>
      <c r="L131" s="79" t="s">
        <v>187</v>
      </c>
      <c r="M131" s="80"/>
      <c r="N131" s="80"/>
      <c r="O131" s="80"/>
      <c r="P131" s="81"/>
      <c r="Q131" s="34">
        <f t="shared" ref="Q131" si="39">LEN(PHONETIC(L131:P131))-LEN(SUBSTITUTE(PHONETIC(L131:P131),",",))+1</f>
        <v>2</v>
      </c>
      <c r="R131" s="40"/>
      <c r="S131" s="61"/>
      <c r="T131" s="62"/>
      <c r="U131" s="57"/>
      <c r="V131" s="58"/>
    </row>
    <row r="132" spans="1:22" s="32" customFormat="1" ht="14.25" customHeight="1">
      <c r="A132" s="59">
        <v>70</v>
      </c>
      <c r="B132" s="60"/>
      <c r="C132" s="61"/>
      <c r="D132" s="62"/>
      <c r="E132" s="103"/>
      <c r="F132" s="104"/>
      <c r="G132" s="77" t="s">
        <v>188</v>
      </c>
      <c r="H132" s="75"/>
      <c r="I132" s="75"/>
      <c r="J132" s="75"/>
      <c r="K132" s="76"/>
      <c r="L132" s="105" t="s">
        <v>189</v>
      </c>
      <c r="M132" s="99"/>
      <c r="N132" s="99"/>
      <c r="O132" s="99"/>
      <c r="P132" s="100"/>
      <c r="Q132" s="34">
        <f>LEN(PHONETIC(L132:P132))-LEN(SUBSTITUTE(PHONETIC(L132:P132),",",))+1</f>
        <v>3</v>
      </c>
      <c r="R132" s="49"/>
      <c r="S132" s="61" t="s">
        <v>190</v>
      </c>
      <c r="T132" s="62"/>
      <c r="U132" s="57"/>
      <c r="V132" s="58"/>
    </row>
    <row r="133" spans="1:22" s="32" customFormat="1" ht="14.25" customHeight="1">
      <c r="A133" s="59">
        <v>71</v>
      </c>
      <c r="B133" s="60"/>
      <c r="C133" s="61"/>
      <c r="D133" s="62"/>
      <c r="E133" s="251" t="s">
        <v>192</v>
      </c>
      <c r="F133" s="88"/>
      <c r="G133" s="238"/>
      <c r="H133" s="252"/>
      <c r="I133" s="252"/>
      <c r="J133" s="252"/>
      <c r="K133" s="253"/>
      <c r="L133" s="74"/>
      <c r="M133" s="97"/>
      <c r="N133" s="97"/>
      <c r="O133" s="97"/>
      <c r="P133" s="98"/>
      <c r="Q133" s="34"/>
      <c r="R133" s="40"/>
      <c r="S133" s="70"/>
      <c r="T133" s="62"/>
      <c r="U133" s="57"/>
      <c r="V133" s="58"/>
    </row>
    <row r="134" spans="1:22" s="32" customFormat="1" ht="14.25" customHeight="1">
      <c r="A134" s="59">
        <v>72</v>
      </c>
      <c r="B134" s="60"/>
      <c r="C134" s="61"/>
      <c r="D134" s="62"/>
      <c r="E134" s="95"/>
      <c r="F134" s="96"/>
      <c r="G134" s="77" t="s">
        <v>191</v>
      </c>
      <c r="H134" s="75"/>
      <c r="I134" s="75"/>
      <c r="J134" s="75"/>
      <c r="K134" s="76"/>
      <c r="L134" s="105" t="s">
        <v>193</v>
      </c>
      <c r="M134" s="99"/>
      <c r="N134" s="99"/>
      <c r="O134" s="99"/>
      <c r="P134" s="100"/>
      <c r="Q134" s="34">
        <f t="shared" ref="Q134" si="40">LEN(PHONETIC(L134:P134))-LEN(SUBSTITUTE(PHONETIC(L134:P134),",",))+1</f>
        <v>2</v>
      </c>
      <c r="R134" s="49"/>
      <c r="S134" s="61" t="s">
        <v>190</v>
      </c>
      <c r="T134" s="62"/>
      <c r="U134" s="57"/>
      <c r="V134" s="58"/>
    </row>
    <row r="135" spans="1:22" s="32" customFormat="1" ht="14.25" customHeight="1">
      <c r="A135" s="59">
        <v>73</v>
      </c>
      <c r="B135" s="60"/>
      <c r="C135" s="61"/>
      <c r="D135" s="62"/>
      <c r="E135" s="87"/>
      <c r="F135" s="88"/>
      <c r="G135" s="54"/>
      <c r="H135" s="252"/>
      <c r="I135" s="252"/>
      <c r="J135" s="252"/>
      <c r="K135" s="253"/>
      <c r="L135" s="74"/>
      <c r="M135" s="97"/>
      <c r="N135" s="97"/>
      <c r="O135" s="97"/>
      <c r="P135" s="98"/>
      <c r="Q135" s="34"/>
      <c r="R135" s="40"/>
      <c r="S135" s="70"/>
      <c r="T135" s="62"/>
      <c r="U135" s="57"/>
      <c r="V135" s="58"/>
    </row>
    <row r="136" spans="1:22" s="32" customFormat="1" ht="14.25" customHeight="1">
      <c r="A136" s="59">
        <v>74</v>
      </c>
      <c r="B136" s="60"/>
      <c r="C136" s="61"/>
      <c r="D136" s="62"/>
      <c r="E136" s="251" t="s">
        <v>194</v>
      </c>
      <c r="F136" s="88"/>
      <c r="G136" s="54"/>
      <c r="H136" s="252"/>
      <c r="I136" s="252"/>
      <c r="J136" s="252"/>
      <c r="K136" s="253"/>
      <c r="L136" s="74"/>
      <c r="M136" s="97"/>
      <c r="N136" s="97"/>
      <c r="O136" s="97"/>
      <c r="P136" s="98"/>
      <c r="Q136" s="34"/>
      <c r="R136" s="40"/>
      <c r="S136" s="70"/>
      <c r="T136" s="62"/>
      <c r="U136" s="57"/>
      <c r="V136" s="58"/>
    </row>
    <row r="137" spans="1:22" s="32" customFormat="1" ht="14.25" customHeight="1">
      <c r="A137" s="59">
        <v>75</v>
      </c>
      <c r="B137" s="60"/>
      <c r="C137" s="61"/>
      <c r="D137" s="62"/>
      <c r="E137" s="65" t="s">
        <v>195</v>
      </c>
      <c r="F137" s="66"/>
      <c r="G137" s="77" t="s">
        <v>196</v>
      </c>
      <c r="H137" s="75"/>
      <c r="I137" s="75"/>
      <c r="J137" s="75"/>
      <c r="K137" s="76"/>
      <c r="L137" s="105" t="s">
        <v>197</v>
      </c>
      <c r="M137" s="99"/>
      <c r="N137" s="99"/>
      <c r="O137" s="99"/>
      <c r="P137" s="100"/>
      <c r="Q137" s="34">
        <f>LEN(PHONETIC(L137:P137))-LEN(SUBSTITUTE(PHONETIC(L137:P137),",",))+1</f>
        <v>3</v>
      </c>
      <c r="R137" s="40"/>
      <c r="S137" s="61"/>
      <c r="T137" s="62"/>
      <c r="U137" s="57"/>
      <c r="V137" s="58"/>
    </row>
    <row r="138" spans="1:22" s="32" customFormat="1" ht="14.25" customHeight="1">
      <c r="A138" s="59">
        <v>76</v>
      </c>
      <c r="B138" s="60"/>
      <c r="C138" s="61"/>
      <c r="D138" s="62"/>
      <c r="E138" s="52"/>
      <c r="F138" s="53"/>
      <c r="G138" s="77" t="s">
        <v>198</v>
      </c>
      <c r="H138" s="75"/>
      <c r="I138" s="75"/>
      <c r="J138" s="75"/>
      <c r="K138" s="76"/>
      <c r="L138" s="105" t="s">
        <v>199</v>
      </c>
      <c r="M138" s="99"/>
      <c r="N138" s="99"/>
      <c r="O138" s="99"/>
      <c r="P138" s="100"/>
      <c r="Q138" s="34">
        <f>LEN(PHONETIC(L138:P138))-LEN(SUBSTITUTE(PHONETIC(L138:P138),",",))+1</f>
        <v>4</v>
      </c>
      <c r="R138" s="40"/>
      <c r="S138" s="61"/>
      <c r="T138" s="62"/>
      <c r="U138" s="57"/>
      <c r="V138" s="58"/>
    </row>
    <row r="139" spans="1:22" s="32" customFormat="1" ht="14.25" customHeight="1">
      <c r="A139" s="59">
        <v>77</v>
      </c>
      <c r="B139" s="60"/>
      <c r="C139" s="61"/>
      <c r="D139" s="62"/>
      <c r="E139" s="179"/>
      <c r="F139" s="180"/>
      <c r="G139" s="77" t="s">
        <v>200</v>
      </c>
      <c r="H139" s="75"/>
      <c r="I139" s="75"/>
      <c r="J139" s="75"/>
      <c r="K139" s="76"/>
      <c r="L139" s="105" t="s">
        <v>201</v>
      </c>
      <c r="M139" s="99"/>
      <c r="N139" s="99"/>
      <c r="O139" s="99"/>
      <c r="P139" s="100"/>
      <c r="Q139" s="34">
        <f>LEN(PHONETIC(L139:P139))-LEN(SUBSTITUTE(PHONETIC(L139:P139),",",))+1</f>
        <v>2</v>
      </c>
      <c r="R139" s="40"/>
      <c r="S139" s="69"/>
      <c r="T139" s="254"/>
      <c r="U139" s="57"/>
      <c r="V139" s="58"/>
    </row>
    <row r="140" spans="1:22" s="32" customFormat="1" ht="14.25" customHeight="1">
      <c r="A140" s="59">
        <v>78</v>
      </c>
      <c r="B140" s="60"/>
      <c r="C140" s="61"/>
      <c r="D140" s="62"/>
      <c r="E140" s="251" t="s">
        <v>202</v>
      </c>
      <c r="F140" s="88"/>
      <c r="G140" s="54"/>
      <c r="H140" s="252"/>
      <c r="I140" s="252"/>
      <c r="J140" s="252"/>
      <c r="K140" s="253"/>
      <c r="L140" s="74"/>
      <c r="M140" s="97"/>
      <c r="N140" s="97"/>
      <c r="O140" s="97"/>
      <c r="P140" s="98"/>
      <c r="Q140" s="36"/>
      <c r="R140" s="40"/>
      <c r="S140" s="61"/>
      <c r="T140" s="62"/>
      <c r="U140" s="57"/>
      <c r="V140" s="58"/>
    </row>
    <row r="141" spans="1:22" s="32" customFormat="1" ht="14.25" customHeight="1">
      <c r="A141" s="59">
        <v>79</v>
      </c>
      <c r="B141" s="60"/>
      <c r="C141" s="61"/>
      <c r="D141" s="62"/>
      <c r="E141" s="78"/>
      <c r="F141" s="53"/>
      <c r="G141" s="255" t="s">
        <v>203</v>
      </c>
      <c r="H141" s="256"/>
      <c r="I141" s="256"/>
      <c r="J141" s="256"/>
      <c r="K141" s="257"/>
      <c r="L141" s="218" t="s">
        <v>204</v>
      </c>
      <c r="M141" s="219"/>
      <c r="N141" s="219"/>
      <c r="O141" s="219"/>
      <c r="P141" s="220"/>
      <c r="Q141" s="181">
        <f>LEN(PHONETIC(L141:P141))-LEN(SUBSTITUTE(PHONETIC(L141:P141),",",))+1</f>
        <v>8</v>
      </c>
      <c r="R141" s="40"/>
      <c r="S141" s="61"/>
      <c r="T141" s="62"/>
      <c r="U141" s="57"/>
      <c r="V141" s="58"/>
    </row>
    <row r="142" spans="1:22" s="32" customFormat="1" ht="14.25" customHeight="1">
      <c r="A142" s="59">
        <v>80</v>
      </c>
      <c r="B142" s="60"/>
      <c r="C142" s="61"/>
      <c r="D142" s="62"/>
      <c r="E142" s="52"/>
      <c r="F142" s="53"/>
      <c r="G142" s="258"/>
      <c r="H142" s="259"/>
      <c r="I142" s="259"/>
      <c r="J142" s="259"/>
      <c r="K142" s="260"/>
      <c r="L142" s="221"/>
      <c r="M142" s="222"/>
      <c r="N142" s="222"/>
      <c r="O142" s="222"/>
      <c r="P142" s="223"/>
      <c r="Q142" s="183"/>
      <c r="R142" s="40"/>
      <c r="S142" s="61"/>
      <c r="T142" s="62"/>
      <c r="U142" s="57"/>
      <c r="V142" s="58"/>
    </row>
    <row r="143" spans="1:22" s="32" customFormat="1" ht="14.25" customHeight="1">
      <c r="A143" s="59">
        <v>81</v>
      </c>
      <c r="B143" s="60"/>
      <c r="C143" s="61"/>
      <c r="D143" s="62"/>
      <c r="E143" s="179" t="s">
        <v>205</v>
      </c>
      <c r="F143" s="180"/>
      <c r="G143" s="74"/>
      <c r="H143" s="121"/>
      <c r="I143" s="121"/>
      <c r="J143" s="121"/>
      <c r="K143" s="122"/>
      <c r="L143" s="74"/>
      <c r="M143" s="75"/>
      <c r="N143" s="75"/>
      <c r="O143" s="75"/>
      <c r="P143" s="76"/>
      <c r="Q143" s="34"/>
      <c r="R143" s="40"/>
      <c r="S143" s="61"/>
      <c r="T143" s="254"/>
      <c r="U143" s="57"/>
      <c r="V143" s="58"/>
    </row>
    <row r="144" spans="1:22" s="32" customFormat="1" ht="14.25" customHeight="1">
      <c r="A144" s="59">
        <v>82</v>
      </c>
      <c r="B144" s="60"/>
      <c r="C144" s="61"/>
      <c r="D144" s="62"/>
      <c r="E144" s="52"/>
      <c r="F144" s="53"/>
      <c r="G144" s="74" t="s">
        <v>206</v>
      </c>
      <c r="H144" s="75"/>
      <c r="I144" s="75"/>
      <c r="J144" s="75"/>
      <c r="K144" s="76"/>
      <c r="L144" s="105" t="s">
        <v>207</v>
      </c>
      <c r="M144" s="99"/>
      <c r="N144" s="99"/>
      <c r="O144" s="99"/>
      <c r="P144" s="100"/>
      <c r="Q144" s="34">
        <f>LEN(PHONETIC(L144:P144))-LEN(SUBSTITUTE(PHONETIC(L144:P144),",",))+1</f>
        <v>2</v>
      </c>
      <c r="R144" s="40"/>
      <c r="S144" s="61"/>
      <c r="T144" s="62"/>
      <c r="U144" s="57"/>
      <c r="V144" s="58"/>
    </row>
    <row r="145" spans="1:22" s="32" customFormat="1" ht="14.25" customHeight="1">
      <c r="A145" s="59">
        <v>83</v>
      </c>
      <c r="B145" s="60"/>
      <c r="C145" s="61"/>
      <c r="D145" s="62"/>
      <c r="E145" s="52"/>
      <c r="F145" s="53"/>
      <c r="G145" s="74" t="s">
        <v>208</v>
      </c>
      <c r="H145" s="75"/>
      <c r="I145" s="75"/>
      <c r="J145" s="75"/>
      <c r="K145" s="76"/>
      <c r="L145" s="79" t="s">
        <v>209</v>
      </c>
      <c r="M145" s="80"/>
      <c r="N145" s="80"/>
      <c r="O145" s="80"/>
      <c r="P145" s="81"/>
      <c r="Q145" s="34">
        <f>LEN(PHONETIC(L145:P145))-LEN(SUBSTITUTE(PHONETIC(L145:P145),",",))+1</f>
        <v>1</v>
      </c>
      <c r="R145" s="40"/>
      <c r="S145" s="61"/>
      <c r="T145" s="62"/>
      <c r="U145" s="57"/>
      <c r="V145" s="58"/>
    </row>
    <row r="146" spans="1:22" s="32" customFormat="1" ht="14.25" customHeight="1">
      <c r="A146" s="59">
        <v>84</v>
      </c>
      <c r="B146" s="60"/>
      <c r="C146" s="61"/>
      <c r="D146" s="62"/>
      <c r="E146" s="52"/>
      <c r="F146" s="53"/>
      <c r="G146" s="77"/>
      <c r="H146" s="75"/>
      <c r="I146" s="75"/>
      <c r="J146" s="75"/>
      <c r="K146" s="76"/>
      <c r="L146" s="57"/>
      <c r="M146" s="99"/>
      <c r="N146" s="99"/>
      <c r="O146" s="99"/>
      <c r="P146" s="100"/>
      <c r="Q146" s="34"/>
      <c r="R146" s="40"/>
      <c r="S146" s="61"/>
      <c r="T146" s="62"/>
      <c r="U146" s="57"/>
      <c r="V146" s="58"/>
    </row>
    <row r="147" spans="1:22" s="32" customFormat="1" ht="14.25" customHeight="1">
      <c r="A147" s="59">
        <v>85</v>
      </c>
      <c r="B147" s="60"/>
      <c r="C147" s="61"/>
      <c r="D147" s="62"/>
      <c r="E147" s="52" t="s">
        <v>210</v>
      </c>
      <c r="F147" s="53"/>
      <c r="G147" s="74"/>
      <c r="H147" s="75"/>
      <c r="I147" s="75"/>
      <c r="J147" s="75"/>
      <c r="K147" s="76"/>
      <c r="L147" s="105"/>
      <c r="M147" s="99"/>
      <c r="N147" s="99"/>
      <c r="O147" s="99"/>
      <c r="P147" s="100"/>
      <c r="Q147" s="36"/>
      <c r="R147" s="40"/>
      <c r="S147" s="61"/>
      <c r="T147" s="62"/>
      <c r="U147" s="57"/>
      <c r="V147" s="58"/>
    </row>
    <row r="148" spans="1:22" s="32" customFormat="1" ht="14.25" customHeight="1">
      <c r="A148" s="59">
        <v>86</v>
      </c>
      <c r="B148" s="60"/>
      <c r="C148" s="61"/>
      <c r="D148" s="62"/>
      <c r="E148" s="52"/>
      <c r="F148" s="53"/>
      <c r="G148" s="74" t="s">
        <v>216</v>
      </c>
      <c r="H148" s="75"/>
      <c r="I148" s="75"/>
      <c r="J148" s="75"/>
      <c r="K148" s="76"/>
      <c r="L148" s="105" t="s">
        <v>217</v>
      </c>
      <c r="M148" s="99"/>
      <c r="N148" s="99"/>
      <c r="O148" s="99"/>
      <c r="P148" s="100"/>
      <c r="Q148" s="34">
        <f>LEN(PHONETIC(L148:P148))-LEN(SUBSTITUTE(PHONETIC(L148:P148),",",))+1</f>
        <v>3</v>
      </c>
      <c r="R148" s="40"/>
      <c r="S148" s="61" t="s">
        <v>211</v>
      </c>
      <c r="T148" s="62"/>
      <c r="U148" s="57"/>
      <c r="V148" s="58"/>
    </row>
    <row r="149" spans="1:22" s="32" customFormat="1" ht="14.25" customHeight="1">
      <c r="A149" s="59">
        <v>87</v>
      </c>
      <c r="B149" s="60"/>
      <c r="C149" s="61"/>
      <c r="D149" s="62"/>
      <c r="E149" s="52"/>
      <c r="F149" s="53"/>
      <c r="G149" s="74"/>
      <c r="H149" s="75"/>
      <c r="I149" s="75"/>
      <c r="J149" s="75"/>
      <c r="K149" s="76"/>
      <c r="L149" s="105"/>
      <c r="M149" s="99"/>
      <c r="N149" s="99"/>
      <c r="O149" s="99"/>
      <c r="P149" s="100"/>
      <c r="Q149" s="34"/>
      <c r="R149" s="40"/>
      <c r="S149" s="61" t="s">
        <v>211</v>
      </c>
      <c r="T149" s="62"/>
      <c r="U149" s="57"/>
      <c r="V149" s="58"/>
    </row>
    <row r="150" spans="1:22" s="32" customFormat="1" ht="14.25" customHeight="1" thickBot="1">
      <c r="A150" s="59">
        <v>88</v>
      </c>
      <c r="B150" s="60"/>
      <c r="C150" s="61"/>
      <c r="D150" s="62"/>
      <c r="E150" s="52"/>
      <c r="F150" s="53"/>
      <c r="G150" s="238" t="s">
        <v>214</v>
      </c>
      <c r="H150" s="55"/>
      <c r="I150" s="55"/>
      <c r="J150" s="55"/>
      <c r="K150" s="56"/>
      <c r="L150" s="105" t="s">
        <v>215</v>
      </c>
      <c r="M150" s="108"/>
      <c r="N150" s="108"/>
      <c r="O150" s="108"/>
      <c r="P150" s="58"/>
      <c r="Q150" s="34">
        <f>LEN(PHONETIC(L150:P150))-LEN(SUBSTITUTE(PHONETIC(L150:P150),",",))+1</f>
        <v>1</v>
      </c>
      <c r="R150" s="49"/>
      <c r="S150" s="61" t="s">
        <v>211</v>
      </c>
      <c r="T150" s="62"/>
      <c r="U150" s="57"/>
      <c r="V150" s="58"/>
    </row>
    <row r="151" spans="1:22" s="32" customFormat="1" ht="45" customHeight="1" thickTop="1" thickBot="1">
      <c r="A151" s="33" t="str">
        <f>A99</f>
        <v>GAN7.820.5607-2清单</v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4"/>
    </row>
    <row r="152" spans="1:22" s="32" customFormat="1" ht="14.25" customHeight="1" thickTop="1">
      <c r="A152" s="149"/>
      <c r="B152" s="150"/>
      <c r="C152" s="149"/>
      <c r="D152" s="150"/>
      <c r="E152" s="151"/>
      <c r="F152" s="141"/>
      <c r="G152" s="142"/>
      <c r="H152" s="21"/>
      <c r="I152" s="42"/>
      <c r="J152" s="23" t="s">
        <v>11</v>
      </c>
      <c r="K152" s="24" t="s">
        <v>22</v>
      </c>
      <c r="L152" s="141"/>
      <c r="M152" s="143"/>
      <c r="N152" s="142"/>
      <c r="O152" s="128"/>
      <c r="P152" s="129"/>
      <c r="Q152" s="129"/>
      <c r="R152" s="129"/>
      <c r="S152" s="129"/>
      <c r="T152" s="129"/>
      <c r="U152" s="129"/>
      <c r="V152" s="130"/>
    </row>
    <row r="153" spans="1:22" s="32" customFormat="1" ht="14.25" customHeight="1">
      <c r="A153" s="144"/>
      <c r="B153" s="145"/>
      <c r="C153" s="144"/>
      <c r="D153" s="145"/>
      <c r="E153" s="146"/>
      <c r="F153" s="125"/>
      <c r="G153" s="127"/>
      <c r="H153" s="25"/>
      <c r="I153" s="39"/>
      <c r="J153" s="27" t="s">
        <v>12</v>
      </c>
      <c r="K153" s="28" t="s">
        <v>21</v>
      </c>
      <c r="L153" s="125"/>
      <c r="M153" s="126"/>
      <c r="N153" s="127"/>
      <c r="O153" s="131"/>
      <c r="P153" s="132"/>
      <c r="Q153" s="132"/>
      <c r="R153" s="132"/>
      <c r="S153" s="132"/>
      <c r="T153" s="132"/>
      <c r="U153" s="132"/>
      <c r="V153" s="133"/>
    </row>
    <row r="154" spans="1:22" s="32" customFormat="1" ht="14.25" customHeight="1" thickBot="1">
      <c r="A154" s="144"/>
      <c r="B154" s="145"/>
      <c r="C154" s="144"/>
      <c r="D154" s="145"/>
      <c r="E154" s="146"/>
      <c r="F154" s="125"/>
      <c r="G154" s="127"/>
      <c r="H154" s="25"/>
      <c r="I154" s="39"/>
      <c r="J154" s="27" t="s">
        <v>13</v>
      </c>
      <c r="K154" s="28" t="s">
        <v>20</v>
      </c>
      <c r="L154" s="125"/>
      <c r="M154" s="126"/>
      <c r="N154" s="127"/>
      <c r="O154" s="134"/>
      <c r="P154" s="135"/>
      <c r="Q154" s="135"/>
      <c r="R154" s="135"/>
      <c r="S154" s="135"/>
      <c r="T154" s="135"/>
      <c r="U154" s="135"/>
      <c r="V154" s="136"/>
    </row>
    <row r="155" spans="1:22" s="32" customFormat="1" ht="22.5" customHeight="1" thickTop="1" thickBot="1">
      <c r="A155" s="114" t="s">
        <v>14</v>
      </c>
      <c r="B155" s="115"/>
      <c r="C155" s="116" t="s">
        <v>9</v>
      </c>
      <c r="D155" s="117"/>
      <c r="E155" s="118"/>
      <c r="F155" s="5" t="s">
        <v>15</v>
      </c>
      <c r="G155" s="6"/>
      <c r="H155" s="44" t="s">
        <v>16</v>
      </c>
      <c r="I155" s="43" t="s">
        <v>17</v>
      </c>
      <c r="J155" s="9"/>
      <c r="K155" s="10" t="s">
        <v>18</v>
      </c>
      <c r="L155" s="137"/>
      <c r="M155" s="137"/>
      <c r="N155" s="138"/>
      <c r="O155" s="139" t="str">
        <f ca="1">"第  " &amp;纵向当前页&amp; "   页  /  共   "    &amp; 总页数 &amp;      "   页"</f>
        <v>第  3   页  /  共   5   页</v>
      </c>
      <c r="P155" s="139"/>
      <c r="Q155" s="139"/>
      <c r="R155" s="139"/>
      <c r="S155" s="139"/>
      <c r="T155" s="139"/>
      <c r="U155" s="139"/>
      <c r="V155" s="140"/>
    </row>
    <row r="156" spans="1:22" s="11" customFormat="1" ht="16.5" customHeight="1" thickTop="1" thickBot="1">
      <c r="A156" s="112" t="s">
        <v>19</v>
      </c>
      <c r="B156" s="112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</row>
    <row r="157" spans="1:22" s="32" customFormat="1" ht="39.75" customHeight="1" thickTop="1" thickBot="1">
      <c r="A157" s="156" t="s">
        <v>0</v>
      </c>
      <c r="B157" s="157"/>
      <c r="C157" s="156" t="s">
        <v>1</v>
      </c>
      <c r="D157" s="157"/>
      <c r="E157" s="156" t="s">
        <v>2</v>
      </c>
      <c r="F157" s="157"/>
      <c r="G157" s="156" t="s">
        <v>3</v>
      </c>
      <c r="H157" s="160"/>
      <c r="I157" s="160"/>
      <c r="J157" s="160"/>
      <c r="K157" s="157"/>
      <c r="L157" s="171" t="s">
        <v>4</v>
      </c>
      <c r="M157" s="172"/>
      <c r="N157" s="172"/>
      <c r="O157" s="172"/>
      <c r="P157" s="172"/>
      <c r="Q157" s="173"/>
      <c r="R157" s="154" t="s">
        <v>5</v>
      </c>
      <c r="S157" s="156" t="s">
        <v>25</v>
      </c>
      <c r="T157" s="157"/>
      <c r="U157" s="156" t="s">
        <v>7</v>
      </c>
      <c r="V157" s="157"/>
    </row>
    <row r="158" spans="1:22" s="32" customFormat="1" ht="24.75" customHeight="1" thickTop="1" thickBot="1">
      <c r="A158" s="158"/>
      <c r="B158" s="159"/>
      <c r="C158" s="158"/>
      <c r="D158" s="159"/>
      <c r="E158" s="158"/>
      <c r="F158" s="159"/>
      <c r="G158" s="158"/>
      <c r="H158" s="161"/>
      <c r="I158" s="161"/>
      <c r="J158" s="161"/>
      <c r="K158" s="159"/>
      <c r="L158" s="162" t="s">
        <v>8</v>
      </c>
      <c r="M158" s="163"/>
      <c r="N158" s="163"/>
      <c r="O158" s="163"/>
      <c r="P158" s="164"/>
      <c r="Q158" s="2" t="s">
        <v>9</v>
      </c>
      <c r="R158" s="155"/>
      <c r="S158" s="158"/>
      <c r="T158" s="159"/>
      <c r="U158" s="158"/>
      <c r="V158" s="159"/>
    </row>
    <row r="159" spans="1:22" s="32" customFormat="1" ht="14.25" customHeight="1" thickTop="1">
      <c r="A159" s="152">
        <f>IF(纵向当前页=1,1,(纵向当前页-1)*44+1)</f>
        <v>133</v>
      </c>
      <c r="B159" s="153"/>
      <c r="C159" s="206"/>
      <c r="D159" s="207"/>
      <c r="E159" s="101" t="s">
        <v>210</v>
      </c>
      <c r="F159" s="102"/>
      <c r="G159" s="74"/>
      <c r="H159" s="75"/>
      <c r="I159" s="75"/>
      <c r="J159" s="75"/>
      <c r="K159" s="76"/>
      <c r="L159" s="105"/>
      <c r="M159" s="99"/>
      <c r="N159" s="99"/>
      <c r="O159" s="99"/>
      <c r="P159" s="100"/>
      <c r="Q159" s="34"/>
      <c r="R159" s="41"/>
      <c r="S159" s="61"/>
      <c r="T159" s="62"/>
      <c r="U159" s="147"/>
      <c r="V159" s="148"/>
    </row>
    <row r="160" spans="1:22" s="32" customFormat="1" ht="14.25" customHeight="1">
      <c r="A160" s="59">
        <v>46</v>
      </c>
      <c r="B160" s="60"/>
      <c r="C160" s="61"/>
      <c r="D160" s="62"/>
      <c r="E160" s="65"/>
      <c r="F160" s="66"/>
      <c r="G160" s="74"/>
      <c r="H160" s="75"/>
      <c r="I160" s="75"/>
      <c r="J160" s="75"/>
      <c r="K160" s="76"/>
      <c r="L160" s="105"/>
      <c r="M160" s="99"/>
      <c r="N160" s="99"/>
      <c r="O160" s="99"/>
      <c r="P160" s="100"/>
      <c r="Q160" s="34"/>
      <c r="R160" s="40"/>
      <c r="S160" s="61"/>
      <c r="T160" s="62"/>
      <c r="U160" s="57"/>
      <c r="V160" s="58"/>
    </row>
    <row r="161" spans="1:22" s="32" customFormat="1" ht="14.25" customHeight="1">
      <c r="A161" s="59">
        <v>47</v>
      </c>
      <c r="B161" s="60"/>
      <c r="C161" s="61"/>
      <c r="D161" s="62"/>
      <c r="E161" s="179"/>
      <c r="F161" s="53"/>
      <c r="G161" s="74" t="s">
        <v>220</v>
      </c>
      <c r="H161" s="75"/>
      <c r="I161" s="75"/>
      <c r="J161" s="75"/>
      <c r="K161" s="76"/>
      <c r="L161" s="105" t="s">
        <v>221</v>
      </c>
      <c r="M161" s="99"/>
      <c r="N161" s="99"/>
      <c r="O161" s="99"/>
      <c r="P161" s="100"/>
      <c r="Q161" s="34">
        <f>LEN(PHONETIC(L161:P161))-LEN(SUBSTITUTE(PHONETIC(L161:P161),",",))+1</f>
        <v>2</v>
      </c>
      <c r="R161" s="40"/>
      <c r="S161" s="61"/>
      <c r="T161" s="62"/>
      <c r="U161" s="57"/>
      <c r="V161" s="58"/>
    </row>
    <row r="162" spans="1:22" s="32" customFormat="1" ht="14.25" customHeight="1">
      <c r="A162" s="59">
        <v>48</v>
      </c>
      <c r="B162" s="60"/>
      <c r="C162" s="61"/>
      <c r="D162" s="62"/>
      <c r="E162" s="52"/>
      <c r="F162" s="53"/>
      <c r="G162" s="74"/>
      <c r="H162" s="75"/>
      <c r="I162" s="75"/>
      <c r="J162" s="75"/>
      <c r="K162" s="76"/>
      <c r="L162" s="105"/>
      <c r="M162" s="99"/>
      <c r="N162" s="99"/>
      <c r="O162" s="99"/>
      <c r="P162" s="100"/>
      <c r="Q162" s="34"/>
      <c r="R162" s="40"/>
      <c r="S162" s="61"/>
      <c r="T162" s="62"/>
      <c r="U162" s="57"/>
      <c r="V162" s="58"/>
    </row>
    <row r="163" spans="1:22" s="32" customFormat="1" ht="14.25" customHeight="1">
      <c r="A163" s="59">
        <v>49</v>
      </c>
      <c r="B163" s="60"/>
      <c r="C163" s="61"/>
      <c r="D163" s="62"/>
      <c r="E163" s="52"/>
      <c r="F163" s="53"/>
      <c r="G163" s="74" t="s">
        <v>220</v>
      </c>
      <c r="H163" s="75"/>
      <c r="I163" s="75"/>
      <c r="J163" s="75"/>
      <c r="K163" s="76"/>
      <c r="L163" s="105" t="s">
        <v>221</v>
      </c>
      <c r="M163" s="99"/>
      <c r="N163" s="99"/>
      <c r="O163" s="99"/>
      <c r="P163" s="100"/>
      <c r="Q163" s="34">
        <f>LEN(PHONETIC(L163:P163))-LEN(SUBSTITUTE(PHONETIC(L163:P163),",",))+1</f>
        <v>2</v>
      </c>
      <c r="R163" s="40"/>
      <c r="S163" s="61"/>
      <c r="T163" s="62"/>
      <c r="U163" s="57"/>
      <c r="V163" s="58"/>
    </row>
    <row r="164" spans="1:22" s="32" customFormat="1" ht="14.25" customHeight="1">
      <c r="A164" s="59">
        <v>50</v>
      </c>
      <c r="B164" s="60"/>
      <c r="C164" s="61"/>
      <c r="D164" s="62"/>
      <c r="E164" s="52"/>
      <c r="F164" s="53"/>
      <c r="G164" s="238" t="s">
        <v>224</v>
      </c>
      <c r="H164" s="55"/>
      <c r="I164" s="55"/>
      <c r="J164" s="55"/>
      <c r="K164" s="56"/>
      <c r="L164" s="168" t="s">
        <v>225</v>
      </c>
      <c r="M164" s="169"/>
      <c r="N164" s="169"/>
      <c r="O164" s="169"/>
      <c r="P164" s="170"/>
      <c r="Q164" s="34">
        <f>LEN(PHONETIC(L164:P164))-LEN(SUBSTITUTE(PHONETIC(L164:P164),",",))+1</f>
        <v>1</v>
      </c>
      <c r="R164" s="40"/>
      <c r="S164" s="61"/>
      <c r="T164" s="62"/>
      <c r="U164" s="57"/>
      <c r="V164" s="58"/>
    </row>
    <row r="165" spans="1:22" s="32" customFormat="1" ht="14.25" customHeight="1">
      <c r="A165" s="59">
        <v>51</v>
      </c>
      <c r="B165" s="60"/>
      <c r="C165" s="61"/>
      <c r="D165" s="62"/>
      <c r="E165" s="52"/>
      <c r="F165" s="53"/>
      <c r="G165" s="54" t="s">
        <v>236</v>
      </c>
      <c r="H165" s="55"/>
      <c r="I165" s="55"/>
      <c r="J165" s="55"/>
      <c r="K165" s="56"/>
      <c r="L165" s="74" t="s">
        <v>237</v>
      </c>
      <c r="M165" s="75"/>
      <c r="N165" s="75"/>
      <c r="O165" s="75"/>
      <c r="P165" s="76"/>
      <c r="Q165" s="36">
        <f t="shared" ref="Q165" si="41">LEN(PHONETIC(L165:P165))-LEN(SUBSTITUTE(PHONETIC(L165:P165),",",))+1</f>
        <v>2</v>
      </c>
      <c r="R165" s="49"/>
      <c r="S165" s="61" t="s">
        <v>238</v>
      </c>
      <c r="T165" s="62"/>
      <c r="U165" s="57"/>
      <c r="V165" s="58"/>
    </row>
    <row r="166" spans="1:22" s="32" customFormat="1" ht="14.25" customHeight="1">
      <c r="A166" s="59">
        <v>52</v>
      </c>
      <c r="B166" s="60"/>
      <c r="C166" s="61"/>
      <c r="D166" s="62"/>
      <c r="E166" s="71" t="s">
        <v>226</v>
      </c>
      <c r="F166" s="72"/>
      <c r="G166" s="54"/>
      <c r="H166" s="55"/>
      <c r="I166" s="55"/>
      <c r="J166" s="55"/>
      <c r="K166" s="56"/>
      <c r="L166" s="168"/>
      <c r="M166" s="169"/>
      <c r="N166" s="169"/>
      <c r="O166" s="169"/>
      <c r="P166" s="170"/>
      <c r="Q166" s="34"/>
      <c r="R166" s="40"/>
      <c r="S166" s="61"/>
      <c r="T166" s="62"/>
      <c r="U166" s="57"/>
      <c r="V166" s="58"/>
    </row>
    <row r="167" spans="1:22" s="32" customFormat="1" ht="14.25" customHeight="1">
      <c r="A167" s="59">
        <v>53</v>
      </c>
      <c r="B167" s="60"/>
      <c r="C167" s="61"/>
      <c r="D167" s="62"/>
      <c r="E167" s="52"/>
      <c r="F167" s="53"/>
      <c r="G167" s="238" t="s">
        <v>227</v>
      </c>
      <c r="H167" s="55"/>
      <c r="I167" s="55"/>
      <c r="J167" s="55"/>
      <c r="K167" s="56"/>
      <c r="L167" s="235" t="s">
        <v>228</v>
      </c>
      <c r="M167" s="236"/>
      <c r="N167" s="236"/>
      <c r="O167" s="236"/>
      <c r="P167" s="237"/>
      <c r="Q167" s="34">
        <f>LEN(PHONETIC(L167:P167))-LEN(SUBSTITUTE(PHONETIC(L167:P167),",",))+1</f>
        <v>1</v>
      </c>
      <c r="R167" s="40"/>
      <c r="S167" s="61"/>
      <c r="T167" s="62"/>
      <c r="U167" s="57"/>
      <c r="V167" s="58"/>
    </row>
    <row r="168" spans="1:22" s="32" customFormat="1" ht="14.25" customHeight="1">
      <c r="A168" s="59">
        <v>54</v>
      </c>
      <c r="B168" s="60"/>
      <c r="C168" s="61"/>
      <c r="D168" s="62"/>
      <c r="E168" s="52"/>
      <c r="F168" s="53"/>
      <c r="G168" s="74" t="s">
        <v>229</v>
      </c>
      <c r="H168" s="75"/>
      <c r="I168" s="75"/>
      <c r="J168" s="75"/>
      <c r="K168" s="76"/>
      <c r="L168" s="105" t="s">
        <v>230</v>
      </c>
      <c r="M168" s="99"/>
      <c r="N168" s="99"/>
      <c r="O168" s="99"/>
      <c r="P168" s="100"/>
      <c r="Q168" s="34">
        <f>LEN(PHONETIC(L168:P168))-LEN(SUBSTITUTE(PHONETIC(L168:P168),",",))+1</f>
        <v>1</v>
      </c>
      <c r="R168" s="40"/>
      <c r="S168" s="61"/>
      <c r="T168" s="62"/>
      <c r="U168" s="57"/>
      <c r="V168" s="58"/>
    </row>
    <row r="169" spans="1:22" s="32" customFormat="1" ht="14.25" customHeight="1">
      <c r="A169" s="59">
        <v>55</v>
      </c>
      <c r="B169" s="60"/>
      <c r="C169" s="61"/>
      <c r="D169" s="62"/>
      <c r="E169" s="52"/>
      <c r="F169" s="53"/>
      <c r="G169" s="74" t="s">
        <v>231</v>
      </c>
      <c r="H169" s="75"/>
      <c r="I169" s="75"/>
      <c r="J169" s="75"/>
      <c r="K169" s="76"/>
      <c r="L169" s="105" t="s">
        <v>232</v>
      </c>
      <c r="M169" s="99"/>
      <c r="N169" s="99"/>
      <c r="O169" s="99"/>
      <c r="P169" s="100"/>
      <c r="Q169" s="34">
        <f>LEN(PHONETIC(L169:P169))-LEN(SUBSTITUTE(PHONETIC(L169:P169),",",))+1</f>
        <v>1</v>
      </c>
      <c r="R169" s="40"/>
      <c r="S169" s="61"/>
      <c r="T169" s="62"/>
      <c r="U169" s="57"/>
      <c r="V169" s="58"/>
    </row>
    <row r="170" spans="1:22" s="32" customFormat="1" ht="14.25" customHeight="1">
      <c r="A170" s="59">
        <v>56</v>
      </c>
      <c r="B170" s="60"/>
      <c r="C170" s="61"/>
      <c r="D170" s="62"/>
      <c r="E170" s="52"/>
      <c r="F170" s="53"/>
      <c r="G170" s="74"/>
      <c r="H170" s="75"/>
      <c r="I170" s="75"/>
      <c r="J170" s="75"/>
      <c r="K170" s="76"/>
      <c r="L170" s="105"/>
      <c r="M170" s="108"/>
      <c r="N170" s="108"/>
      <c r="O170" s="108"/>
      <c r="P170" s="58"/>
      <c r="Q170" s="34"/>
      <c r="R170" s="40"/>
      <c r="S170" s="61"/>
      <c r="T170" s="62"/>
      <c r="U170" s="57"/>
      <c r="V170" s="58"/>
    </row>
    <row r="171" spans="1:22" s="32" customFormat="1" ht="14.25" customHeight="1">
      <c r="A171" s="59">
        <v>57</v>
      </c>
      <c r="B171" s="60"/>
      <c r="C171" s="61"/>
      <c r="D171" s="62"/>
      <c r="E171" s="52"/>
      <c r="F171" s="53"/>
      <c r="G171" s="74"/>
      <c r="H171" s="75"/>
      <c r="I171" s="75"/>
      <c r="J171" s="75"/>
      <c r="K171" s="76"/>
      <c r="L171" s="242"/>
      <c r="M171" s="243"/>
      <c r="N171" s="243"/>
      <c r="O171" s="243"/>
      <c r="P171" s="244"/>
      <c r="Q171" s="34"/>
      <c r="R171" s="40"/>
      <c r="S171" s="61"/>
      <c r="T171" s="62"/>
      <c r="U171" s="57"/>
      <c r="V171" s="58"/>
    </row>
    <row r="172" spans="1:22" s="32" customFormat="1" ht="14.25" customHeight="1">
      <c r="A172" s="59">
        <v>58</v>
      </c>
      <c r="B172" s="60"/>
      <c r="C172" s="61"/>
      <c r="D172" s="62"/>
      <c r="E172" s="52"/>
      <c r="F172" s="53"/>
      <c r="G172" s="54"/>
      <c r="H172" s="55"/>
      <c r="I172" s="55"/>
      <c r="J172" s="55"/>
      <c r="K172" s="56"/>
      <c r="L172" s="242"/>
      <c r="M172" s="243"/>
      <c r="N172" s="243"/>
      <c r="O172" s="243"/>
      <c r="P172" s="244"/>
      <c r="Q172" s="36"/>
      <c r="R172" s="40"/>
      <c r="S172" s="61"/>
      <c r="T172" s="62"/>
      <c r="U172" s="57"/>
      <c r="V172" s="58"/>
    </row>
    <row r="173" spans="1:22" s="32" customFormat="1" ht="14.25" customHeight="1">
      <c r="A173" s="59">
        <v>59</v>
      </c>
      <c r="B173" s="60"/>
      <c r="C173" s="61"/>
      <c r="D173" s="62"/>
      <c r="E173" s="52" t="s">
        <v>239</v>
      </c>
      <c r="F173" s="53"/>
      <c r="G173" s="109"/>
      <c r="H173" s="110"/>
      <c r="I173" s="110"/>
      <c r="J173" s="110"/>
      <c r="K173" s="111"/>
      <c r="L173" s="242"/>
      <c r="M173" s="243"/>
      <c r="N173" s="243"/>
      <c r="O173" s="243"/>
      <c r="P173" s="244"/>
      <c r="Q173" s="36"/>
      <c r="R173" s="40"/>
      <c r="S173" s="61"/>
      <c r="T173" s="62"/>
      <c r="U173" s="57"/>
      <c r="V173" s="58"/>
    </row>
    <row r="174" spans="1:22" s="32" customFormat="1" ht="14.25" customHeight="1">
      <c r="A174" s="59">
        <v>60</v>
      </c>
      <c r="B174" s="60"/>
      <c r="C174" s="61"/>
      <c r="D174" s="62"/>
      <c r="E174" s="106"/>
      <c r="F174" s="107"/>
      <c r="G174" s="242" t="s">
        <v>240</v>
      </c>
      <c r="H174" s="110"/>
      <c r="I174" s="110"/>
      <c r="J174" s="110"/>
      <c r="K174" s="111"/>
      <c r="L174" s="105" t="s">
        <v>241</v>
      </c>
      <c r="M174" s="99"/>
      <c r="N174" s="99"/>
      <c r="O174" s="99"/>
      <c r="P174" s="100"/>
      <c r="Q174" s="34">
        <f>LEN(PHONETIC(L174:P174))-LEN(SUBSTITUTE(PHONETIC(L174:P174),",",))+1</f>
        <v>3</v>
      </c>
      <c r="R174" s="40"/>
      <c r="S174" s="61"/>
      <c r="T174" s="62"/>
      <c r="U174" s="57"/>
      <c r="V174" s="58"/>
    </row>
    <row r="175" spans="1:22" s="32" customFormat="1" ht="14.25" customHeight="1">
      <c r="A175" s="59">
        <v>61</v>
      </c>
      <c r="B175" s="60"/>
      <c r="C175" s="61"/>
      <c r="D175" s="62"/>
      <c r="E175" s="106"/>
      <c r="F175" s="107"/>
      <c r="G175" s="242" t="s">
        <v>243</v>
      </c>
      <c r="H175" s="110"/>
      <c r="I175" s="110"/>
      <c r="J175" s="110"/>
      <c r="K175" s="111"/>
      <c r="L175" s="105" t="s">
        <v>242</v>
      </c>
      <c r="M175" s="99"/>
      <c r="N175" s="99"/>
      <c r="O175" s="99"/>
      <c r="P175" s="100"/>
      <c r="Q175" s="34">
        <f>LEN(PHONETIC(L175:P175))-LEN(SUBSTITUTE(PHONETIC(L175:P175),",",))+1</f>
        <v>1</v>
      </c>
      <c r="R175" s="40"/>
      <c r="S175" s="61"/>
      <c r="T175" s="62"/>
      <c r="U175" s="57"/>
      <c r="V175" s="58"/>
    </row>
    <row r="176" spans="1:22" s="32" customFormat="1" ht="14.25" customHeight="1">
      <c r="A176" s="59">
        <v>62</v>
      </c>
      <c r="B176" s="60"/>
      <c r="C176" s="61"/>
      <c r="D176" s="62"/>
      <c r="E176" s="106"/>
      <c r="F176" s="107"/>
      <c r="G176" s="242" t="s">
        <v>244</v>
      </c>
      <c r="H176" s="110"/>
      <c r="I176" s="110"/>
      <c r="J176" s="110"/>
      <c r="K176" s="111"/>
      <c r="L176" s="105" t="s">
        <v>245</v>
      </c>
      <c r="M176" s="99"/>
      <c r="N176" s="99"/>
      <c r="O176" s="99"/>
      <c r="P176" s="100"/>
      <c r="Q176" s="34">
        <f>LEN(PHONETIC(L176:P176))-LEN(SUBSTITUTE(PHONETIC(L176:P176),",",))+1</f>
        <v>1</v>
      </c>
      <c r="R176" s="40"/>
      <c r="S176" s="61"/>
      <c r="T176" s="62"/>
      <c r="U176" s="57"/>
      <c r="V176" s="58"/>
    </row>
    <row r="177" spans="1:22" s="32" customFormat="1" ht="14.25" customHeight="1">
      <c r="A177" s="59">
        <v>63</v>
      </c>
      <c r="B177" s="60"/>
      <c r="C177" s="61"/>
      <c r="D177" s="62"/>
      <c r="E177" s="106" t="s">
        <v>246</v>
      </c>
      <c r="F177" s="107"/>
      <c r="G177" s="77"/>
      <c r="H177" s="75"/>
      <c r="I177" s="75"/>
      <c r="J177" s="75"/>
      <c r="K177" s="76"/>
      <c r="L177" s="105"/>
      <c r="M177" s="99"/>
      <c r="N177" s="99"/>
      <c r="O177" s="99"/>
      <c r="P177" s="100"/>
      <c r="Q177" s="36"/>
      <c r="R177" s="40"/>
      <c r="S177" s="61"/>
      <c r="T177" s="62"/>
      <c r="U177" s="57"/>
      <c r="V177" s="58"/>
    </row>
    <row r="178" spans="1:22" s="32" customFormat="1" ht="14.25" customHeight="1">
      <c r="A178" s="59">
        <v>64</v>
      </c>
      <c r="B178" s="60"/>
      <c r="C178" s="61"/>
      <c r="D178" s="62"/>
      <c r="E178" s="106"/>
      <c r="F178" s="107"/>
      <c r="G178" s="77" t="s">
        <v>247</v>
      </c>
      <c r="H178" s="75"/>
      <c r="I178" s="75"/>
      <c r="J178" s="75"/>
      <c r="K178" s="76"/>
      <c r="L178" s="105" t="s">
        <v>248</v>
      </c>
      <c r="M178" s="99"/>
      <c r="N178" s="99"/>
      <c r="O178" s="99"/>
      <c r="P178" s="100"/>
      <c r="Q178" s="34">
        <f>LEN(PHONETIC(L178:P178))-LEN(SUBSTITUTE(PHONETIC(L178:P178),",",))+1</f>
        <v>4</v>
      </c>
      <c r="R178" s="40"/>
      <c r="S178" s="61"/>
      <c r="T178" s="62"/>
      <c r="U178" s="57"/>
      <c r="V178" s="58"/>
    </row>
    <row r="179" spans="1:22" s="32" customFormat="1" ht="14.25" customHeight="1">
      <c r="A179" s="59">
        <v>65</v>
      </c>
      <c r="B179" s="60"/>
      <c r="C179" s="61"/>
      <c r="D179" s="62"/>
      <c r="E179" s="52" t="s">
        <v>249</v>
      </c>
      <c r="F179" s="53"/>
      <c r="G179" s="54"/>
      <c r="H179" s="55"/>
      <c r="I179" s="55"/>
      <c r="J179" s="55"/>
      <c r="K179" s="56"/>
      <c r="L179" s="57"/>
      <c r="M179" s="99"/>
      <c r="N179" s="99"/>
      <c r="O179" s="99"/>
      <c r="P179" s="100"/>
      <c r="Q179" s="36"/>
      <c r="R179" s="40"/>
      <c r="S179" s="61"/>
      <c r="T179" s="62"/>
      <c r="U179" s="57"/>
      <c r="V179" s="58"/>
    </row>
    <row r="180" spans="1:22" s="32" customFormat="1" ht="14.25" customHeight="1">
      <c r="A180" s="59">
        <v>66</v>
      </c>
      <c r="B180" s="60"/>
      <c r="C180" s="61"/>
      <c r="D180" s="62"/>
      <c r="E180" s="52"/>
      <c r="F180" s="53"/>
      <c r="G180" s="238" t="s">
        <v>250</v>
      </c>
      <c r="H180" s="55"/>
      <c r="I180" s="55"/>
      <c r="J180" s="55"/>
      <c r="K180" s="56"/>
      <c r="L180" s="105" t="s">
        <v>252</v>
      </c>
      <c r="M180" s="99"/>
      <c r="N180" s="99"/>
      <c r="O180" s="99"/>
      <c r="P180" s="100"/>
      <c r="Q180" s="34">
        <f>LEN(PHONETIC(L180:P180))-LEN(SUBSTITUTE(PHONETIC(L180:P180),",",))+1</f>
        <v>2</v>
      </c>
      <c r="R180" s="40"/>
      <c r="S180" s="61"/>
      <c r="T180" s="62"/>
      <c r="U180" s="57"/>
      <c r="V180" s="58"/>
    </row>
    <row r="181" spans="1:22" s="32" customFormat="1" ht="14.25" customHeight="1">
      <c r="A181" s="59">
        <v>67</v>
      </c>
      <c r="B181" s="60"/>
      <c r="C181" s="61"/>
      <c r="D181" s="62"/>
      <c r="E181" s="52"/>
      <c r="F181" s="53"/>
      <c r="G181" s="74" t="s">
        <v>251</v>
      </c>
      <c r="H181" s="75"/>
      <c r="I181" s="75"/>
      <c r="J181" s="75"/>
      <c r="K181" s="76"/>
      <c r="L181" s="262" t="s">
        <v>327</v>
      </c>
      <c r="M181" s="263"/>
      <c r="N181" s="263"/>
      <c r="O181" s="263"/>
      <c r="P181" s="264"/>
      <c r="Q181" s="34">
        <f>LEN(PHONETIC(L181:P181))-LEN(SUBSTITUTE(PHONETIC(L181:P181),",",))+1</f>
        <v>1</v>
      </c>
      <c r="R181" s="40"/>
      <c r="S181" s="61"/>
      <c r="T181" s="62"/>
      <c r="U181" s="57"/>
      <c r="V181" s="58"/>
    </row>
    <row r="182" spans="1:22" s="32" customFormat="1" ht="14.25" customHeight="1">
      <c r="A182" s="59">
        <v>68</v>
      </c>
      <c r="B182" s="60"/>
      <c r="C182" s="61"/>
      <c r="D182" s="62"/>
      <c r="E182" s="71" t="s">
        <v>253</v>
      </c>
      <c r="F182" s="53"/>
      <c r="G182" s="54"/>
      <c r="H182" s="55"/>
      <c r="I182" s="55"/>
      <c r="J182" s="55"/>
      <c r="K182" s="56"/>
      <c r="L182" s="79"/>
      <c r="M182" s="80"/>
      <c r="N182" s="80"/>
      <c r="O182" s="80"/>
      <c r="P182" s="81"/>
      <c r="Q182" s="34"/>
      <c r="R182" s="40"/>
      <c r="S182" s="61"/>
      <c r="T182" s="62"/>
      <c r="U182" s="57"/>
      <c r="V182" s="58"/>
    </row>
    <row r="183" spans="1:22" s="32" customFormat="1" ht="14.25" customHeight="1">
      <c r="A183" s="59">
        <v>69</v>
      </c>
      <c r="B183" s="60"/>
      <c r="C183" s="61"/>
      <c r="D183" s="62"/>
      <c r="E183" s="71"/>
      <c r="F183" s="72"/>
      <c r="G183" s="54" t="s">
        <v>254</v>
      </c>
      <c r="H183" s="55"/>
      <c r="I183" s="55"/>
      <c r="J183" s="55"/>
      <c r="K183" s="56"/>
      <c r="L183" s="261" t="s">
        <v>255</v>
      </c>
      <c r="M183" s="236"/>
      <c r="N183" s="236"/>
      <c r="O183" s="236"/>
      <c r="P183" s="237"/>
      <c r="Q183" s="34">
        <f t="shared" ref="Q183:Q187" si="42">LEN(PHONETIC(L183:P183))-LEN(SUBSTITUTE(PHONETIC(L183:P183),",",))+1</f>
        <v>2</v>
      </c>
      <c r="R183" s="40"/>
      <c r="S183" s="61"/>
      <c r="T183" s="62"/>
      <c r="U183" s="57"/>
      <c r="V183" s="58"/>
    </row>
    <row r="184" spans="1:22" s="32" customFormat="1" ht="14.25" customHeight="1">
      <c r="A184" s="59">
        <v>70</v>
      </c>
      <c r="B184" s="60"/>
      <c r="C184" s="61"/>
      <c r="D184" s="62"/>
      <c r="E184" s="103"/>
      <c r="F184" s="104"/>
      <c r="G184" s="54" t="s">
        <v>256</v>
      </c>
      <c r="H184" s="55"/>
      <c r="I184" s="55"/>
      <c r="J184" s="55"/>
      <c r="K184" s="56"/>
      <c r="L184" s="168" t="s">
        <v>257</v>
      </c>
      <c r="M184" s="169"/>
      <c r="N184" s="169"/>
      <c r="O184" s="169"/>
      <c r="P184" s="170"/>
      <c r="Q184" s="34">
        <f t="shared" si="42"/>
        <v>2</v>
      </c>
      <c r="R184" s="40"/>
      <c r="S184" s="61"/>
      <c r="T184" s="62"/>
      <c r="U184" s="57"/>
      <c r="V184" s="58"/>
    </row>
    <row r="185" spans="1:22" s="32" customFormat="1" ht="14.25" customHeight="1">
      <c r="A185" s="59">
        <v>71</v>
      </c>
      <c r="B185" s="60"/>
      <c r="C185" s="61"/>
      <c r="D185" s="62"/>
      <c r="E185" s="87"/>
      <c r="F185" s="88"/>
      <c r="G185" s="77" t="s">
        <v>260</v>
      </c>
      <c r="H185" s="75"/>
      <c r="I185" s="75"/>
      <c r="J185" s="75"/>
      <c r="K185" s="76"/>
      <c r="L185" s="232" t="s">
        <v>258</v>
      </c>
      <c r="M185" s="233"/>
      <c r="N185" s="233"/>
      <c r="O185" s="233"/>
      <c r="P185" s="234"/>
      <c r="Q185" s="34">
        <f t="shared" si="42"/>
        <v>1</v>
      </c>
      <c r="R185" s="40"/>
      <c r="S185" s="70"/>
      <c r="T185" s="62"/>
      <c r="U185" s="57"/>
      <c r="V185" s="58"/>
    </row>
    <row r="186" spans="1:22" s="32" customFormat="1" ht="14.25" customHeight="1">
      <c r="A186" s="59">
        <v>72</v>
      </c>
      <c r="B186" s="60"/>
      <c r="C186" s="61"/>
      <c r="D186" s="62"/>
      <c r="E186" s="95"/>
      <c r="F186" s="96"/>
      <c r="G186" s="77" t="s">
        <v>261</v>
      </c>
      <c r="H186" s="75"/>
      <c r="I186" s="75"/>
      <c r="J186" s="75"/>
      <c r="K186" s="76"/>
      <c r="L186" s="235" t="s">
        <v>259</v>
      </c>
      <c r="M186" s="236"/>
      <c r="N186" s="236"/>
      <c r="O186" s="236"/>
      <c r="P186" s="237"/>
      <c r="Q186" s="34">
        <f t="shared" si="42"/>
        <v>1</v>
      </c>
      <c r="R186" s="40"/>
      <c r="S186" s="70"/>
      <c r="T186" s="62"/>
      <c r="U186" s="57"/>
      <c r="V186" s="58"/>
    </row>
    <row r="187" spans="1:22" s="32" customFormat="1" ht="14.25" customHeight="1">
      <c r="A187" s="59">
        <v>73</v>
      </c>
      <c r="B187" s="60"/>
      <c r="C187" s="61"/>
      <c r="D187" s="62"/>
      <c r="E187" s="87"/>
      <c r="F187" s="88"/>
      <c r="G187" s="54" t="s">
        <v>262</v>
      </c>
      <c r="H187" s="55"/>
      <c r="I187" s="55"/>
      <c r="J187" s="55"/>
      <c r="K187" s="56"/>
      <c r="L187" s="168" t="s">
        <v>263</v>
      </c>
      <c r="M187" s="169"/>
      <c r="N187" s="169"/>
      <c r="O187" s="169"/>
      <c r="P187" s="170"/>
      <c r="Q187" s="34">
        <f t="shared" si="42"/>
        <v>1</v>
      </c>
      <c r="R187" s="40"/>
      <c r="S187" s="70"/>
      <c r="T187" s="62"/>
      <c r="U187" s="57"/>
      <c r="V187" s="58"/>
    </row>
    <row r="188" spans="1:22" s="32" customFormat="1" ht="14.25" customHeight="1">
      <c r="A188" s="59">
        <v>74</v>
      </c>
      <c r="B188" s="60"/>
      <c r="C188" s="61"/>
      <c r="D188" s="62"/>
      <c r="E188" s="87"/>
      <c r="F188" s="88"/>
      <c r="G188" s="77" t="s">
        <v>264</v>
      </c>
      <c r="H188" s="75"/>
      <c r="I188" s="75"/>
      <c r="J188" s="75"/>
      <c r="K188" s="76"/>
      <c r="L188" s="235" t="s">
        <v>265</v>
      </c>
      <c r="M188" s="236"/>
      <c r="N188" s="236"/>
      <c r="O188" s="236"/>
      <c r="P188" s="237"/>
      <c r="Q188" s="34">
        <f t="shared" ref="Q188:Q189" si="43">LEN(PHONETIC(L188:P188))-LEN(SUBSTITUTE(PHONETIC(L188:P188),",",))+1</f>
        <v>1</v>
      </c>
      <c r="R188" s="40"/>
      <c r="S188" s="70"/>
      <c r="T188" s="62"/>
      <c r="U188" s="57"/>
      <c r="V188" s="58"/>
    </row>
    <row r="189" spans="1:22" s="32" customFormat="1" ht="14.25" customHeight="1">
      <c r="A189" s="59">
        <v>75</v>
      </c>
      <c r="B189" s="60"/>
      <c r="C189" s="61"/>
      <c r="D189" s="62"/>
      <c r="E189" s="78"/>
      <c r="F189" s="53"/>
      <c r="G189" s="74" t="s">
        <v>266</v>
      </c>
      <c r="H189" s="75"/>
      <c r="I189" s="75"/>
      <c r="J189" s="75"/>
      <c r="K189" s="76"/>
      <c r="L189" s="105" t="s">
        <v>267</v>
      </c>
      <c r="M189" s="99"/>
      <c r="N189" s="99"/>
      <c r="O189" s="99"/>
      <c r="P189" s="100"/>
      <c r="Q189" s="51">
        <f t="shared" si="43"/>
        <v>1</v>
      </c>
      <c r="R189" s="40"/>
      <c r="S189" s="61"/>
      <c r="T189" s="62"/>
      <c r="U189" s="57"/>
      <c r="V189" s="58"/>
    </row>
    <row r="190" spans="1:22" s="32" customFormat="1" ht="14.25" customHeight="1">
      <c r="A190" s="59">
        <v>76</v>
      </c>
      <c r="B190" s="60"/>
      <c r="C190" s="61"/>
      <c r="D190" s="62"/>
      <c r="E190" s="52"/>
      <c r="F190" s="53"/>
      <c r="G190" s="74" t="s">
        <v>268</v>
      </c>
      <c r="H190" s="75"/>
      <c r="I190" s="75"/>
      <c r="J190" s="75"/>
      <c r="K190" s="76"/>
      <c r="L190" s="105" t="s">
        <v>269</v>
      </c>
      <c r="M190" s="99"/>
      <c r="N190" s="99"/>
      <c r="O190" s="99"/>
      <c r="P190" s="100"/>
      <c r="Q190" s="51">
        <f t="shared" ref="Q190:Q191" si="44">LEN(PHONETIC(L190:P190))-LEN(SUBSTITUTE(PHONETIC(L190:P190),",",))+1</f>
        <v>1</v>
      </c>
      <c r="R190" s="40"/>
      <c r="S190" s="61"/>
      <c r="T190" s="62"/>
      <c r="U190" s="57"/>
      <c r="V190" s="58"/>
    </row>
    <row r="191" spans="1:22" s="32" customFormat="1" ht="14.25" customHeight="1">
      <c r="A191" s="59">
        <v>77</v>
      </c>
      <c r="B191" s="60"/>
      <c r="C191" s="61"/>
      <c r="D191" s="62"/>
      <c r="E191" s="179"/>
      <c r="F191" s="180"/>
      <c r="G191" s="74" t="s">
        <v>270</v>
      </c>
      <c r="H191" s="75"/>
      <c r="I191" s="75"/>
      <c r="J191" s="75"/>
      <c r="K191" s="76"/>
      <c r="L191" s="105" t="s">
        <v>271</v>
      </c>
      <c r="M191" s="99"/>
      <c r="N191" s="99"/>
      <c r="O191" s="99"/>
      <c r="P191" s="100"/>
      <c r="Q191" s="51">
        <f t="shared" si="44"/>
        <v>1</v>
      </c>
      <c r="R191" s="40"/>
      <c r="S191" s="69"/>
      <c r="T191" s="254"/>
      <c r="U191" s="57"/>
      <c r="V191" s="58"/>
    </row>
    <row r="192" spans="1:22" s="32" customFormat="1" ht="14.25" customHeight="1">
      <c r="A192" s="59">
        <v>78</v>
      </c>
      <c r="B192" s="60"/>
      <c r="C192" s="61"/>
      <c r="D192" s="62"/>
      <c r="E192" s="87"/>
      <c r="F192" s="88"/>
      <c r="G192" s="74" t="s">
        <v>272</v>
      </c>
      <c r="H192" s="75"/>
      <c r="I192" s="75"/>
      <c r="J192" s="75"/>
      <c r="K192" s="76"/>
      <c r="L192" s="105" t="s">
        <v>273</v>
      </c>
      <c r="M192" s="99"/>
      <c r="N192" s="99"/>
      <c r="O192" s="99"/>
      <c r="P192" s="100"/>
      <c r="Q192" s="51">
        <f t="shared" ref="Q192" si="45">LEN(PHONETIC(L192:P192))-LEN(SUBSTITUTE(PHONETIC(L192:P192),",",))+1</f>
        <v>1</v>
      </c>
      <c r="R192" s="40"/>
      <c r="S192" s="61"/>
      <c r="T192" s="62"/>
      <c r="U192" s="57"/>
      <c r="V192" s="58"/>
    </row>
    <row r="193" spans="1:22" s="32" customFormat="1" ht="14.25" customHeight="1">
      <c r="A193" s="59">
        <v>79</v>
      </c>
      <c r="B193" s="60"/>
      <c r="C193" s="61"/>
      <c r="D193" s="62"/>
      <c r="E193" s="78"/>
      <c r="F193" s="53"/>
      <c r="G193" s="74" t="s">
        <v>274</v>
      </c>
      <c r="H193" s="75"/>
      <c r="I193" s="75"/>
      <c r="J193" s="75"/>
      <c r="K193" s="76"/>
      <c r="L193" s="105" t="s">
        <v>275</v>
      </c>
      <c r="M193" s="99"/>
      <c r="N193" s="99"/>
      <c r="O193" s="99"/>
      <c r="P193" s="100"/>
      <c r="Q193" s="51">
        <f t="shared" ref="Q193:Q195" si="46">LEN(PHONETIC(L193:P193))-LEN(SUBSTITUTE(PHONETIC(L193:P193),",",))+1</f>
        <v>1</v>
      </c>
      <c r="R193" s="40"/>
      <c r="S193" s="61"/>
      <c r="T193" s="62"/>
      <c r="U193" s="57"/>
      <c r="V193" s="58"/>
    </row>
    <row r="194" spans="1:22" s="32" customFormat="1" ht="14.25" customHeight="1">
      <c r="A194" s="59">
        <v>80</v>
      </c>
      <c r="B194" s="60"/>
      <c r="C194" s="61"/>
      <c r="D194" s="62"/>
      <c r="E194" s="52"/>
      <c r="F194" s="53"/>
      <c r="G194" s="54" t="s">
        <v>276</v>
      </c>
      <c r="H194" s="55"/>
      <c r="I194" s="55"/>
      <c r="J194" s="55"/>
      <c r="K194" s="56"/>
      <c r="L194" s="242" t="s">
        <v>320</v>
      </c>
      <c r="M194" s="243"/>
      <c r="N194" s="243"/>
      <c r="O194" s="243"/>
      <c r="P194" s="244"/>
      <c r="Q194" s="36">
        <f t="shared" si="46"/>
        <v>1</v>
      </c>
      <c r="R194" s="40"/>
      <c r="S194" s="61"/>
      <c r="T194" s="62"/>
      <c r="U194" s="57"/>
      <c r="V194" s="58"/>
    </row>
    <row r="195" spans="1:22" s="32" customFormat="1" ht="14.25" customHeight="1">
      <c r="A195" s="59">
        <v>81</v>
      </c>
      <c r="B195" s="60"/>
      <c r="C195" s="61"/>
      <c r="D195" s="62"/>
      <c r="E195" s="71"/>
      <c r="F195" s="53"/>
      <c r="G195" s="109" t="s">
        <v>277</v>
      </c>
      <c r="H195" s="110"/>
      <c r="I195" s="110"/>
      <c r="J195" s="110"/>
      <c r="K195" s="111"/>
      <c r="L195" s="242" t="s">
        <v>278</v>
      </c>
      <c r="M195" s="243"/>
      <c r="N195" s="243"/>
      <c r="O195" s="243"/>
      <c r="P195" s="244"/>
      <c r="Q195" s="36">
        <f t="shared" si="46"/>
        <v>1</v>
      </c>
      <c r="R195" s="40"/>
      <c r="S195" s="61"/>
      <c r="T195" s="254"/>
      <c r="U195" s="57"/>
      <c r="V195" s="58"/>
    </row>
    <row r="196" spans="1:22" s="32" customFormat="1" ht="14.25" customHeight="1">
      <c r="A196" s="59">
        <v>82</v>
      </c>
      <c r="B196" s="60"/>
      <c r="C196" s="61"/>
      <c r="D196" s="62"/>
      <c r="E196" s="106" t="s">
        <v>279</v>
      </c>
      <c r="F196" s="107"/>
      <c r="G196" s="77"/>
      <c r="H196" s="75"/>
      <c r="I196" s="75"/>
      <c r="J196" s="75"/>
      <c r="K196" s="76"/>
      <c r="L196" s="57"/>
      <c r="M196" s="99"/>
      <c r="N196" s="99"/>
      <c r="O196" s="99"/>
      <c r="P196" s="100"/>
      <c r="Q196" s="36"/>
      <c r="R196" s="40"/>
      <c r="S196" s="61"/>
      <c r="T196" s="62"/>
      <c r="U196" s="57"/>
      <c r="V196" s="58"/>
    </row>
    <row r="197" spans="1:22" s="32" customFormat="1" ht="14.25" customHeight="1">
      <c r="A197" s="59">
        <v>83</v>
      </c>
      <c r="B197" s="60"/>
      <c r="C197" s="61"/>
      <c r="D197" s="62"/>
      <c r="E197" s="52"/>
      <c r="F197" s="53"/>
      <c r="G197" s="54" t="s">
        <v>280</v>
      </c>
      <c r="H197" s="55"/>
      <c r="I197" s="55"/>
      <c r="J197" s="55"/>
      <c r="K197" s="56"/>
      <c r="L197" s="57" t="s">
        <v>281</v>
      </c>
      <c r="M197" s="99"/>
      <c r="N197" s="99"/>
      <c r="O197" s="99"/>
      <c r="P197" s="100"/>
      <c r="Q197" s="36">
        <f t="shared" ref="Q197:Q200" si="47">LEN(PHONETIC(L197:P197))-LEN(SUBSTITUTE(PHONETIC(L197:P197),",",))+1</f>
        <v>1</v>
      </c>
      <c r="R197" s="40"/>
      <c r="S197" s="61"/>
      <c r="T197" s="62"/>
      <c r="U197" s="57"/>
      <c r="V197" s="58"/>
    </row>
    <row r="198" spans="1:22" s="32" customFormat="1" ht="14.25" customHeight="1">
      <c r="A198" s="59">
        <v>84</v>
      </c>
      <c r="B198" s="60"/>
      <c r="C198" s="61"/>
      <c r="D198" s="62"/>
      <c r="E198" s="251" t="s">
        <v>282</v>
      </c>
      <c r="F198" s="88"/>
      <c r="G198" s="238" t="s">
        <v>285</v>
      </c>
      <c r="H198" s="55"/>
      <c r="I198" s="55"/>
      <c r="J198" s="55"/>
      <c r="K198" s="56"/>
      <c r="L198" s="105" t="s">
        <v>283</v>
      </c>
      <c r="M198" s="108"/>
      <c r="N198" s="108"/>
      <c r="O198" s="108"/>
      <c r="P198" s="58"/>
      <c r="Q198" s="36">
        <f t="shared" si="47"/>
        <v>2</v>
      </c>
      <c r="R198" s="40"/>
      <c r="S198" s="61"/>
      <c r="T198" s="62"/>
      <c r="U198" s="57"/>
      <c r="V198" s="58"/>
    </row>
    <row r="199" spans="1:22" s="32" customFormat="1" ht="14.25" customHeight="1">
      <c r="A199" s="59">
        <v>85</v>
      </c>
      <c r="B199" s="60"/>
      <c r="C199" s="61"/>
      <c r="D199" s="62"/>
      <c r="E199" s="95"/>
      <c r="F199" s="96"/>
      <c r="G199" s="74" t="s">
        <v>284</v>
      </c>
      <c r="H199" s="75"/>
      <c r="I199" s="75"/>
      <c r="J199" s="75"/>
      <c r="K199" s="76"/>
      <c r="L199" s="105" t="s">
        <v>286</v>
      </c>
      <c r="M199" s="108"/>
      <c r="N199" s="108"/>
      <c r="O199" s="108"/>
      <c r="P199" s="58"/>
      <c r="Q199" s="36">
        <f t="shared" si="47"/>
        <v>2</v>
      </c>
      <c r="R199" s="40"/>
      <c r="S199" s="61"/>
      <c r="T199" s="62"/>
      <c r="U199" s="57"/>
      <c r="V199" s="58"/>
    </row>
    <row r="200" spans="1:22" s="32" customFormat="1" ht="14.25" customHeight="1">
      <c r="A200" s="59">
        <v>86</v>
      </c>
      <c r="B200" s="60"/>
      <c r="C200" s="61"/>
      <c r="D200" s="62"/>
      <c r="E200" s="87"/>
      <c r="F200" s="88"/>
      <c r="G200" s="238" t="s">
        <v>287</v>
      </c>
      <c r="H200" s="252"/>
      <c r="I200" s="252"/>
      <c r="J200" s="252"/>
      <c r="K200" s="253"/>
      <c r="L200" s="74" t="s">
        <v>288</v>
      </c>
      <c r="M200" s="97"/>
      <c r="N200" s="97"/>
      <c r="O200" s="97"/>
      <c r="P200" s="98"/>
      <c r="Q200" s="36">
        <f t="shared" si="47"/>
        <v>2</v>
      </c>
      <c r="R200" s="40"/>
      <c r="S200" s="69"/>
      <c r="T200" s="62"/>
      <c r="U200" s="57"/>
      <c r="V200" s="58"/>
    </row>
    <row r="201" spans="1:22" s="32" customFormat="1" ht="14.25" customHeight="1">
      <c r="A201" s="59">
        <v>87</v>
      </c>
      <c r="B201" s="60"/>
      <c r="C201" s="61"/>
      <c r="D201" s="62"/>
      <c r="E201" s="52"/>
      <c r="F201" s="53"/>
      <c r="G201" s="77"/>
      <c r="H201" s="75"/>
      <c r="I201" s="75"/>
      <c r="J201" s="75"/>
      <c r="K201" s="76"/>
      <c r="L201" s="57"/>
      <c r="M201" s="99"/>
      <c r="N201" s="99"/>
      <c r="O201" s="99"/>
      <c r="P201" s="100"/>
      <c r="Q201" s="34"/>
      <c r="R201" s="40"/>
      <c r="S201" s="69"/>
      <c r="T201" s="62"/>
      <c r="U201" s="57"/>
      <c r="V201" s="58"/>
    </row>
    <row r="202" spans="1:22" s="32" customFormat="1" ht="14.25" customHeight="1" thickBot="1">
      <c r="A202" s="59">
        <v>88</v>
      </c>
      <c r="B202" s="60"/>
      <c r="C202" s="61"/>
      <c r="D202" s="62"/>
      <c r="E202" s="52"/>
      <c r="F202" s="53"/>
      <c r="G202" s="77"/>
      <c r="H202" s="75"/>
      <c r="I202" s="75"/>
      <c r="J202" s="75"/>
      <c r="K202" s="76"/>
      <c r="L202" s="262"/>
      <c r="M202" s="263"/>
      <c r="N202" s="263"/>
      <c r="O202" s="263"/>
      <c r="P202" s="264"/>
      <c r="Q202" s="36"/>
      <c r="R202" s="40"/>
      <c r="S202" s="61"/>
      <c r="T202" s="62"/>
      <c r="U202" s="57"/>
      <c r="V202" s="58"/>
    </row>
    <row r="203" spans="1:22" s="32" customFormat="1" ht="45" customHeight="1" thickTop="1" thickBot="1">
      <c r="A203" s="33" t="str">
        <f>A151</f>
        <v>GAN7.820.5607-2清单</v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4"/>
    </row>
    <row r="204" spans="1:22" s="32" customFormat="1" ht="14.25" customHeight="1" thickTop="1">
      <c r="A204" s="149"/>
      <c r="B204" s="150"/>
      <c r="C204" s="149"/>
      <c r="D204" s="150"/>
      <c r="E204" s="151"/>
      <c r="F204" s="141"/>
      <c r="G204" s="142"/>
      <c r="H204" s="21"/>
      <c r="I204" s="42"/>
      <c r="J204" s="23" t="s">
        <v>11</v>
      </c>
      <c r="K204" s="24" t="s">
        <v>22</v>
      </c>
      <c r="L204" s="141"/>
      <c r="M204" s="143"/>
      <c r="N204" s="142"/>
      <c r="O204" s="128"/>
      <c r="P204" s="129"/>
      <c r="Q204" s="129"/>
      <c r="R204" s="129"/>
      <c r="S204" s="129"/>
      <c r="T204" s="129"/>
      <c r="U204" s="129"/>
      <c r="V204" s="130"/>
    </row>
    <row r="205" spans="1:22" s="32" customFormat="1" ht="14.25" customHeight="1">
      <c r="A205" s="144"/>
      <c r="B205" s="145"/>
      <c r="C205" s="144"/>
      <c r="D205" s="145"/>
      <c r="E205" s="146"/>
      <c r="F205" s="125"/>
      <c r="G205" s="127"/>
      <c r="H205" s="25"/>
      <c r="I205" s="39"/>
      <c r="J205" s="27" t="s">
        <v>12</v>
      </c>
      <c r="K205" s="28" t="s">
        <v>21</v>
      </c>
      <c r="L205" s="125"/>
      <c r="M205" s="126"/>
      <c r="N205" s="127"/>
      <c r="O205" s="131"/>
      <c r="P205" s="132"/>
      <c r="Q205" s="132"/>
      <c r="R205" s="132"/>
      <c r="S205" s="132"/>
      <c r="T205" s="132"/>
      <c r="U205" s="132"/>
      <c r="V205" s="133"/>
    </row>
    <row r="206" spans="1:22" s="32" customFormat="1" ht="14.25" customHeight="1" thickBot="1">
      <c r="A206" s="144"/>
      <c r="B206" s="145"/>
      <c r="C206" s="144"/>
      <c r="D206" s="145"/>
      <c r="E206" s="146"/>
      <c r="F206" s="125"/>
      <c r="G206" s="127"/>
      <c r="H206" s="25"/>
      <c r="I206" s="39"/>
      <c r="J206" s="27" t="s">
        <v>13</v>
      </c>
      <c r="K206" s="28" t="s">
        <v>20</v>
      </c>
      <c r="L206" s="125"/>
      <c r="M206" s="126"/>
      <c r="N206" s="127"/>
      <c r="O206" s="134"/>
      <c r="P206" s="135"/>
      <c r="Q206" s="135"/>
      <c r="R206" s="135"/>
      <c r="S206" s="135"/>
      <c r="T206" s="135"/>
      <c r="U206" s="135"/>
      <c r="V206" s="136"/>
    </row>
    <row r="207" spans="1:22" s="32" customFormat="1" ht="22.5" customHeight="1" thickTop="1" thickBot="1">
      <c r="A207" s="114" t="s">
        <v>14</v>
      </c>
      <c r="B207" s="115"/>
      <c r="C207" s="116" t="s">
        <v>9</v>
      </c>
      <c r="D207" s="117"/>
      <c r="E207" s="118"/>
      <c r="F207" s="5" t="s">
        <v>15</v>
      </c>
      <c r="G207" s="6"/>
      <c r="H207" s="44" t="s">
        <v>16</v>
      </c>
      <c r="I207" s="43" t="s">
        <v>17</v>
      </c>
      <c r="J207" s="9"/>
      <c r="K207" s="10" t="s">
        <v>18</v>
      </c>
      <c r="L207" s="137"/>
      <c r="M207" s="137"/>
      <c r="N207" s="138"/>
      <c r="O207" s="139" t="str">
        <f ca="1">"第  " &amp;纵向当前页&amp; "   页  /  共   "    &amp; 总页数 &amp;      "   页"</f>
        <v>第  4   页  /  共   5   页</v>
      </c>
      <c r="P207" s="139"/>
      <c r="Q207" s="139"/>
      <c r="R207" s="139"/>
      <c r="S207" s="139"/>
      <c r="T207" s="139"/>
      <c r="U207" s="139"/>
      <c r="V207" s="140"/>
    </row>
    <row r="208" spans="1:22" s="11" customFormat="1" ht="16.5" customHeight="1" thickTop="1" thickBot="1">
      <c r="A208" s="112" t="s">
        <v>19</v>
      </c>
      <c r="B208" s="112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</row>
    <row r="209" spans="1:22" s="32" customFormat="1" ht="39.75" customHeight="1" thickTop="1" thickBot="1">
      <c r="A209" s="156" t="s">
        <v>0</v>
      </c>
      <c r="B209" s="157"/>
      <c r="C209" s="156" t="s">
        <v>1</v>
      </c>
      <c r="D209" s="157"/>
      <c r="E209" s="156" t="s">
        <v>2</v>
      </c>
      <c r="F209" s="157"/>
      <c r="G209" s="156" t="s">
        <v>3</v>
      </c>
      <c r="H209" s="160"/>
      <c r="I209" s="160"/>
      <c r="J209" s="160"/>
      <c r="K209" s="157"/>
      <c r="L209" s="171" t="s">
        <v>4</v>
      </c>
      <c r="M209" s="172"/>
      <c r="N209" s="172"/>
      <c r="O209" s="172"/>
      <c r="P209" s="172"/>
      <c r="Q209" s="173"/>
      <c r="R209" s="154" t="s">
        <v>5</v>
      </c>
      <c r="S209" s="156" t="s">
        <v>25</v>
      </c>
      <c r="T209" s="157"/>
      <c r="U209" s="156" t="s">
        <v>7</v>
      </c>
      <c r="V209" s="157"/>
    </row>
    <row r="210" spans="1:22" s="32" customFormat="1" ht="24.75" customHeight="1" thickTop="1" thickBot="1">
      <c r="A210" s="158"/>
      <c r="B210" s="159"/>
      <c r="C210" s="158"/>
      <c r="D210" s="159"/>
      <c r="E210" s="158"/>
      <c r="F210" s="159"/>
      <c r="G210" s="158"/>
      <c r="H210" s="161"/>
      <c r="I210" s="161"/>
      <c r="J210" s="161"/>
      <c r="K210" s="159"/>
      <c r="L210" s="162" t="s">
        <v>8</v>
      </c>
      <c r="M210" s="163"/>
      <c r="N210" s="163"/>
      <c r="O210" s="163"/>
      <c r="P210" s="164"/>
      <c r="Q210" s="2" t="s">
        <v>9</v>
      </c>
      <c r="R210" s="155"/>
      <c r="S210" s="158"/>
      <c r="T210" s="159"/>
      <c r="U210" s="158"/>
      <c r="V210" s="159"/>
    </row>
    <row r="211" spans="1:22" s="32" customFormat="1" ht="14.25" customHeight="1" thickTop="1">
      <c r="A211" s="152">
        <f>IF(纵向当前页=1,1,(纵向当前页-1)*44+1)</f>
        <v>177</v>
      </c>
      <c r="B211" s="153"/>
      <c r="C211" s="206"/>
      <c r="D211" s="207"/>
      <c r="E211" s="52" t="s">
        <v>289</v>
      </c>
      <c r="F211" s="53"/>
      <c r="G211" s="77"/>
      <c r="H211" s="75"/>
      <c r="I211" s="75"/>
      <c r="J211" s="75"/>
      <c r="K211" s="76"/>
      <c r="L211" s="57"/>
      <c r="M211" s="108"/>
      <c r="N211" s="108"/>
      <c r="O211" s="108"/>
      <c r="P211" s="58"/>
      <c r="Q211" s="34"/>
      <c r="R211" s="50"/>
      <c r="S211" s="61"/>
      <c r="T211" s="62"/>
      <c r="U211" s="147"/>
      <c r="V211" s="148"/>
    </row>
    <row r="212" spans="1:22" s="32" customFormat="1" ht="14.25" customHeight="1">
      <c r="A212" s="59">
        <v>46</v>
      </c>
      <c r="B212" s="60"/>
      <c r="C212" s="61"/>
      <c r="D212" s="62"/>
      <c r="E212" s="52"/>
      <c r="F212" s="53"/>
      <c r="G212" s="77" t="s">
        <v>290</v>
      </c>
      <c r="H212" s="75"/>
      <c r="I212" s="75"/>
      <c r="J212" s="75"/>
      <c r="K212" s="76"/>
      <c r="L212" s="271" t="s">
        <v>291</v>
      </c>
      <c r="M212" s="80"/>
      <c r="N212" s="80"/>
      <c r="O212" s="80"/>
      <c r="P212" s="81"/>
      <c r="Q212" s="34">
        <v>1</v>
      </c>
      <c r="R212" s="49"/>
      <c r="S212" s="61"/>
      <c r="T212" s="62"/>
      <c r="U212" s="57"/>
      <c r="V212" s="58"/>
    </row>
    <row r="213" spans="1:22" s="32" customFormat="1" ht="14.25" customHeight="1">
      <c r="A213" s="59">
        <v>47</v>
      </c>
      <c r="B213" s="60"/>
      <c r="C213" s="61"/>
      <c r="D213" s="62"/>
      <c r="E213" s="179"/>
      <c r="F213" s="53"/>
      <c r="G213" s="74"/>
      <c r="H213" s="75"/>
      <c r="I213" s="75"/>
      <c r="J213" s="75"/>
      <c r="K213" s="76"/>
      <c r="L213" s="105"/>
      <c r="M213" s="99"/>
      <c r="N213" s="99"/>
      <c r="O213" s="99"/>
      <c r="P213" s="100"/>
      <c r="Q213" s="34"/>
      <c r="R213" s="49"/>
      <c r="S213" s="61"/>
      <c r="T213" s="62"/>
      <c r="U213" s="57"/>
      <c r="V213" s="58"/>
    </row>
    <row r="214" spans="1:22" s="32" customFormat="1" ht="14.25" customHeight="1">
      <c r="A214" s="59">
        <v>48</v>
      </c>
      <c r="B214" s="60"/>
      <c r="C214" s="61"/>
      <c r="D214" s="62"/>
      <c r="E214" s="52" t="s">
        <v>292</v>
      </c>
      <c r="F214" s="53"/>
      <c r="G214" s="272"/>
      <c r="H214" s="273"/>
      <c r="I214" s="273"/>
      <c r="J214" s="273"/>
      <c r="K214" s="274"/>
      <c r="L214" s="275"/>
      <c r="M214" s="276"/>
      <c r="N214" s="276"/>
      <c r="O214" s="276"/>
      <c r="P214" s="277"/>
      <c r="Q214" s="36"/>
      <c r="R214" s="49"/>
      <c r="S214" s="61"/>
      <c r="T214" s="62"/>
      <c r="U214" s="57"/>
      <c r="V214" s="58"/>
    </row>
    <row r="215" spans="1:22" s="32" customFormat="1" ht="14.25" customHeight="1">
      <c r="A215" s="59">
        <v>49</v>
      </c>
      <c r="B215" s="60"/>
      <c r="C215" s="61"/>
      <c r="D215" s="62"/>
      <c r="E215" s="52"/>
      <c r="F215" s="53"/>
      <c r="G215" s="109" t="s">
        <v>293</v>
      </c>
      <c r="H215" s="110"/>
      <c r="I215" s="110"/>
      <c r="J215" s="110"/>
      <c r="K215" s="111"/>
      <c r="L215" s="242" t="s">
        <v>294</v>
      </c>
      <c r="M215" s="243"/>
      <c r="N215" s="243"/>
      <c r="O215" s="243"/>
      <c r="P215" s="244"/>
      <c r="Q215" s="36">
        <f t="shared" ref="Q215" si="48">LEN(PHONETIC(L215:P215))-LEN(SUBSTITUTE(PHONETIC(L215:P215),",",))+1</f>
        <v>2</v>
      </c>
      <c r="R215" s="49"/>
      <c r="S215" s="61"/>
      <c r="T215" s="62"/>
      <c r="U215" s="57"/>
      <c r="V215" s="58"/>
    </row>
    <row r="216" spans="1:22" s="32" customFormat="1" ht="14.25" customHeight="1">
      <c r="A216" s="59">
        <v>50</v>
      </c>
      <c r="B216" s="60"/>
      <c r="C216" s="61"/>
      <c r="D216" s="62"/>
      <c r="E216" s="52"/>
      <c r="F216" s="53"/>
      <c r="G216" s="238"/>
      <c r="H216" s="55"/>
      <c r="I216" s="55"/>
      <c r="J216" s="55"/>
      <c r="K216" s="56"/>
      <c r="L216" s="168"/>
      <c r="M216" s="169"/>
      <c r="N216" s="169"/>
      <c r="O216" s="169"/>
      <c r="P216" s="170"/>
      <c r="Q216" s="34"/>
      <c r="R216" s="49"/>
      <c r="S216" s="61"/>
      <c r="T216" s="62"/>
      <c r="U216" s="57"/>
      <c r="V216" s="58"/>
    </row>
    <row r="217" spans="1:22" s="32" customFormat="1" ht="14.25" customHeight="1">
      <c r="A217" s="59">
        <v>51</v>
      </c>
      <c r="B217" s="60"/>
      <c r="C217" s="61"/>
      <c r="D217" s="62"/>
      <c r="E217" s="52" t="s">
        <v>295</v>
      </c>
      <c r="F217" s="53"/>
      <c r="G217" s="77"/>
      <c r="H217" s="75"/>
      <c r="I217" s="75"/>
      <c r="J217" s="75"/>
      <c r="K217" s="76"/>
      <c r="L217" s="57"/>
      <c r="M217" s="99"/>
      <c r="N217" s="99"/>
      <c r="O217" s="99"/>
      <c r="P217" s="100"/>
      <c r="Q217" s="34"/>
      <c r="R217" s="49"/>
      <c r="S217" s="61"/>
      <c r="T217" s="62"/>
      <c r="U217" s="57"/>
      <c r="V217" s="58"/>
    </row>
    <row r="218" spans="1:22" s="32" customFormat="1" ht="14.25" customHeight="1">
      <c r="A218" s="59">
        <v>52</v>
      </c>
      <c r="B218" s="60"/>
      <c r="C218" s="61"/>
      <c r="D218" s="62"/>
      <c r="E218" s="71"/>
      <c r="F218" s="53"/>
      <c r="G218" s="54" t="s">
        <v>296</v>
      </c>
      <c r="H218" s="55"/>
      <c r="I218" s="55"/>
      <c r="J218" s="55"/>
      <c r="K218" s="56"/>
      <c r="L218" s="79" t="s">
        <v>297</v>
      </c>
      <c r="M218" s="80"/>
      <c r="N218" s="80"/>
      <c r="O218" s="80"/>
      <c r="P218" s="81"/>
      <c r="Q218" s="34">
        <f t="shared" ref="Q218" si="49">LEN(PHONETIC(L218:P218))-LEN(SUBSTITUTE(PHONETIC(L218:P218),",",))+1</f>
        <v>1</v>
      </c>
      <c r="R218" s="49"/>
      <c r="S218" s="61"/>
      <c r="T218" s="62"/>
      <c r="U218" s="57"/>
      <c r="V218" s="58"/>
    </row>
    <row r="219" spans="1:22" s="32" customFormat="1" ht="14.25" customHeight="1">
      <c r="A219" s="59">
        <v>53</v>
      </c>
      <c r="B219" s="60"/>
      <c r="C219" s="61"/>
      <c r="D219" s="62"/>
      <c r="E219" s="52"/>
      <c r="F219" s="53"/>
      <c r="G219" s="238"/>
      <c r="H219" s="55"/>
      <c r="I219" s="55"/>
      <c r="J219" s="55"/>
      <c r="K219" s="56"/>
      <c r="L219" s="235"/>
      <c r="M219" s="236"/>
      <c r="N219" s="236"/>
      <c r="O219" s="236"/>
      <c r="P219" s="237"/>
      <c r="Q219" s="34"/>
      <c r="R219" s="49"/>
      <c r="S219" s="61"/>
      <c r="T219" s="62"/>
      <c r="U219" s="57"/>
      <c r="V219" s="58"/>
    </row>
    <row r="220" spans="1:22" s="32" customFormat="1" ht="14.25" customHeight="1">
      <c r="A220" s="59">
        <v>54</v>
      </c>
      <c r="B220" s="60"/>
      <c r="C220" s="61"/>
      <c r="D220" s="62"/>
      <c r="E220" s="52" t="s">
        <v>298</v>
      </c>
      <c r="F220" s="53"/>
      <c r="G220" s="74"/>
      <c r="H220" s="75"/>
      <c r="I220" s="75"/>
      <c r="J220" s="75"/>
      <c r="K220" s="76"/>
      <c r="L220" s="105"/>
      <c r="M220" s="99"/>
      <c r="N220" s="99"/>
      <c r="O220" s="99"/>
      <c r="P220" s="100"/>
      <c r="Q220" s="34"/>
      <c r="R220" s="49"/>
      <c r="S220" s="61"/>
      <c r="T220" s="62"/>
      <c r="U220" s="57"/>
      <c r="V220" s="58"/>
    </row>
    <row r="221" spans="1:22" s="32" customFormat="1" ht="14.25" customHeight="1">
      <c r="A221" s="59">
        <v>55</v>
      </c>
      <c r="B221" s="60"/>
      <c r="C221" s="61"/>
      <c r="D221" s="62"/>
      <c r="E221" s="52"/>
      <c r="F221" s="53"/>
      <c r="G221" s="74" t="s">
        <v>313</v>
      </c>
      <c r="H221" s="75"/>
      <c r="I221" s="75"/>
      <c r="J221" s="75"/>
      <c r="K221" s="76"/>
      <c r="L221" s="105" t="s">
        <v>299</v>
      </c>
      <c r="M221" s="99"/>
      <c r="N221" s="99"/>
      <c r="O221" s="99"/>
      <c r="P221" s="100"/>
      <c r="Q221" s="34">
        <f t="shared" ref="Q221:Q222" si="50">LEN(PHONETIC(L221:P221))-LEN(SUBSTITUTE(PHONETIC(L221:P221),",",))+1</f>
        <v>1</v>
      </c>
      <c r="R221" s="49"/>
      <c r="S221" s="61" t="s">
        <v>300</v>
      </c>
      <c r="T221" s="62"/>
      <c r="U221" s="57"/>
      <c r="V221" s="58"/>
    </row>
    <row r="222" spans="1:22" s="32" customFormat="1" ht="14.25" customHeight="1">
      <c r="A222" s="59">
        <v>56</v>
      </c>
      <c r="B222" s="60"/>
      <c r="C222" s="61"/>
      <c r="D222" s="62"/>
      <c r="E222" s="52"/>
      <c r="F222" s="53"/>
      <c r="G222" s="77" t="s">
        <v>312</v>
      </c>
      <c r="H222" s="75"/>
      <c r="I222" s="75"/>
      <c r="J222" s="75"/>
      <c r="K222" s="76"/>
      <c r="L222" s="57" t="s">
        <v>316</v>
      </c>
      <c r="M222" s="108"/>
      <c r="N222" s="108"/>
      <c r="O222" s="108"/>
      <c r="P222" s="58"/>
      <c r="Q222" s="34">
        <f t="shared" si="50"/>
        <v>2</v>
      </c>
      <c r="R222" s="49"/>
      <c r="S222" s="61" t="s">
        <v>300</v>
      </c>
      <c r="T222" s="62"/>
      <c r="U222" s="57"/>
      <c r="V222" s="58"/>
    </row>
    <row r="223" spans="1:22" s="32" customFormat="1" ht="14.25" customHeight="1">
      <c r="A223" s="59">
        <v>57</v>
      </c>
      <c r="B223" s="60"/>
      <c r="C223" s="61"/>
      <c r="D223" s="62"/>
      <c r="E223" s="52" t="s">
        <v>328</v>
      </c>
      <c r="F223" s="53"/>
      <c r="G223" s="77" t="s">
        <v>332</v>
      </c>
      <c r="H223" s="75"/>
      <c r="I223" s="75"/>
      <c r="J223" s="75"/>
      <c r="K223" s="76"/>
      <c r="L223" s="109" t="s">
        <v>329</v>
      </c>
      <c r="M223" s="243"/>
      <c r="N223" s="243"/>
      <c r="O223" s="243"/>
      <c r="P223" s="244"/>
      <c r="Q223" s="34">
        <v>1</v>
      </c>
      <c r="R223" s="49"/>
      <c r="S223" s="61" t="s">
        <v>300</v>
      </c>
      <c r="T223" s="62"/>
      <c r="U223" s="57"/>
      <c r="V223" s="58"/>
    </row>
    <row r="224" spans="1:22" s="32" customFormat="1" ht="14.25" customHeight="1">
      <c r="A224" s="59">
        <v>58</v>
      </c>
      <c r="B224" s="60"/>
      <c r="C224" s="61"/>
      <c r="D224" s="62"/>
      <c r="E224" s="101" t="s">
        <v>301</v>
      </c>
      <c r="F224" s="102"/>
      <c r="G224" s="77"/>
      <c r="H224" s="75"/>
      <c r="I224" s="75"/>
      <c r="J224" s="75"/>
      <c r="K224" s="76"/>
      <c r="L224" s="105"/>
      <c r="M224" s="99"/>
      <c r="N224" s="99"/>
      <c r="O224" s="99"/>
      <c r="P224" s="100"/>
      <c r="Q224" s="34">
        <f>LEN(PHONETIC(L224:P224))-LEN(SUBSTITUTE(PHONETIC(L224:P224),",",))+1</f>
        <v>1</v>
      </c>
      <c r="R224" s="49"/>
      <c r="S224" s="61"/>
      <c r="T224" s="62"/>
      <c r="U224" s="57"/>
      <c r="V224" s="58"/>
    </row>
    <row r="225" spans="1:22" s="32" customFormat="1" ht="14.25" customHeight="1">
      <c r="A225" s="59">
        <v>59</v>
      </c>
      <c r="B225" s="60"/>
      <c r="C225" s="61"/>
      <c r="D225" s="62"/>
      <c r="E225" s="65"/>
      <c r="F225" s="66"/>
      <c r="G225" s="77" t="s">
        <v>302</v>
      </c>
      <c r="H225" s="75"/>
      <c r="I225" s="75"/>
      <c r="J225" s="75"/>
      <c r="K225" s="76"/>
      <c r="L225" s="57" t="s">
        <v>303</v>
      </c>
      <c r="M225" s="99"/>
      <c r="N225" s="99"/>
      <c r="O225" s="99"/>
      <c r="P225" s="100"/>
      <c r="Q225" s="34">
        <f>LEN(PHONETIC(L225:P225))-LEN(SUBSTITUTE(PHONETIC(L225:P225),",",))+1</f>
        <v>1</v>
      </c>
      <c r="R225" s="49"/>
      <c r="S225" s="61"/>
      <c r="T225" s="62"/>
      <c r="U225" s="57"/>
      <c r="V225" s="58"/>
    </row>
    <row r="226" spans="1:22" s="32" customFormat="1" ht="14.25" customHeight="1">
      <c r="A226" s="59">
        <v>60</v>
      </c>
      <c r="B226" s="60"/>
      <c r="C226" s="61"/>
      <c r="D226" s="62"/>
      <c r="E226" s="106"/>
      <c r="F226" s="107"/>
      <c r="G226" s="242"/>
      <c r="H226" s="110"/>
      <c r="I226" s="110"/>
      <c r="J226" s="110"/>
      <c r="K226" s="111"/>
      <c r="L226" s="105"/>
      <c r="M226" s="99"/>
      <c r="N226" s="99"/>
      <c r="O226" s="99"/>
      <c r="P226" s="100"/>
      <c r="Q226" s="34"/>
      <c r="R226" s="49"/>
      <c r="S226" s="61"/>
      <c r="T226" s="62"/>
      <c r="U226" s="57"/>
      <c r="V226" s="58"/>
    </row>
    <row r="227" spans="1:22" s="32" customFormat="1" ht="14.25" customHeight="1">
      <c r="A227" s="59">
        <v>61</v>
      </c>
      <c r="B227" s="60"/>
      <c r="C227" s="61"/>
      <c r="D227" s="62"/>
      <c r="E227" s="71" t="s">
        <v>304</v>
      </c>
      <c r="F227" s="72"/>
      <c r="G227" s="238"/>
      <c r="H227" s="55"/>
      <c r="I227" s="55"/>
      <c r="J227" s="55"/>
      <c r="K227" s="56"/>
      <c r="L227" s="92"/>
      <c r="M227" s="93"/>
      <c r="N227" s="93"/>
      <c r="O227" s="93"/>
      <c r="P227" s="94"/>
      <c r="Q227" s="34"/>
      <c r="R227" s="49"/>
      <c r="S227" s="61"/>
      <c r="T227" s="62"/>
      <c r="U227" s="57"/>
      <c r="V227" s="58"/>
    </row>
    <row r="228" spans="1:22" s="32" customFormat="1" ht="14.25" customHeight="1">
      <c r="A228" s="59">
        <v>62</v>
      </c>
      <c r="B228" s="60"/>
      <c r="C228" s="61"/>
      <c r="D228" s="62"/>
      <c r="E228" s="103"/>
      <c r="F228" s="104"/>
      <c r="G228" s="278" t="s">
        <v>306</v>
      </c>
      <c r="H228" s="279"/>
      <c r="I228" s="279"/>
      <c r="J228" s="279"/>
      <c r="K228" s="280"/>
      <c r="L228" s="281" t="s">
        <v>307</v>
      </c>
      <c r="M228" s="282"/>
      <c r="N228" s="282"/>
      <c r="O228" s="282"/>
      <c r="P228" s="283"/>
      <c r="Q228" s="36">
        <v>2</v>
      </c>
      <c r="R228" s="49"/>
      <c r="S228" s="61"/>
      <c r="T228" s="62"/>
      <c r="U228" s="57"/>
      <c r="V228" s="58"/>
    </row>
    <row r="229" spans="1:22" s="32" customFormat="1" ht="14.25" customHeight="1">
      <c r="A229" s="59">
        <v>63</v>
      </c>
      <c r="B229" s="60"/>
      <c r="C229" s="61"/>
      <c r="D229" s="62"/>
      <c r="E229" s="87"/>
      <c r="F229" s="88"/>
      <c r="G229" s="278" t="s">
        <v>314</v>
      </c>
      <c r="H229" s="279"/>
      <c r="I229" s="279"/>
      <c r="J229" s="279"/>
      <c r="K229" s="280"/>
      <c r="L229" s="281" t="s">
        <v>315</v>
      </c>
      <c r="M229" s="282"/>
      <c r="N229" s="282"/>
      <c r="O229" s="282"/>
      <c r="P229" s="283"/>
      <c r="Q229" s="36">
        <v>2</v>
      </c>
      <c r="R229" s="49"/>
      <c r="S229" s="61"/>
      <c r="T229" s="62"/>
      <c r="U229" s="57"/>
      <c r="V229" s="58"/>
    </row>
    <row r="230" spans="1:22" s="32" customFormat="1" ht="14.25" customHeight="1">
      <c r="A230" s="59">
        <v>64</v>
      </c>
      <c r="B230" s="60"/>
      <c r="C230" s="61"/>
      <c r="D230" s="62"/>
      <c r="E230" s="95"/>
      <c r="F230" s="96"/>
      <c r="G230" s="242"/>
      <c r="H230" s="110"/>
      <c r="I230" s="110"/>
      <c r="J230" s="110"/>
      <c r="K230" s="111"/>
      <c r="L230" s="105"/>
      <c r="M230" s="99"/>
      <c r="N230" s="99"/>
      <c r="O230" s="99"/>
      <c r="P230" s="100"/>
      <c r="Q230" s="34"/>
      <c r="R230" s="49"/>
      <c r="S230" s="61"/>
      <c r="T230" s="62"/>
      <c r="U230" s="57"/>
      <c r="V230" s="58"/>
    </row>
    <row r="231" spans="1:22" s="32" customFormat="1" ht="14.25" customHeight="1">
      <c r="A231" s="59">
        <v>65</v>
      </c>
      <c r="B231" s="60"/>
      <c r="C231" s="61"/>
      <c r="D231" s="62"/>
      <c r="E231" s="87"/>
      <c r="F231" s="88"/>
      <c r="G231" s="54" t="s">
        <v>308</v>
      </c>
      <c r="H231" s="55"/>
      <c r="I231" s="55"/>
      <c r="J231" s="55"/>
      <c r="K231" s="56"/>
      <c r="L231" s="77" t="s">
        <v>305</v>
      </c>
      <c r="M231" s="75"/>
      <c r="N231" s="75"/>
      <c r="O231" s="75"/>
      <c r="P231" s="76"/>
      <c r="Q231" s="34">
        <v>4</v>
      </c>
      <c r="R231" s="49"/>
      <c r="S231" s="61"/>
      <c r="T231" s="62"/>
      <c r="U231" s="57"/>
      <c r="V231" s="58"/>
    </row>
    <row r="232" spans="1:22" s="32" customFormat="1" ht="14.25" customHeight="1">
      <c r="A232" s="59">
        <v>66</v>
      </c>
      <c r="B232" s="60"/>
      <c r="C232" s="61"/>
      <c r="D232" s="62"/>
      <c r="E232" s="52"/>
      <c r="F232" s="53"/>
      <c r="G232" s="238"/>
      <c r="H232" s="55"/>
      <c r="I232" s="55"/>
      <c r="J232" s="55"/>
      <c r="K232" s="56"/>
      <c r="L232" s="105"/>
      <c r="M232" s="99"/>
      <c r="N232" s="99"/>
      <c r="O232" s="99"/>
      <c r="P232" s="100"/>
      <c r="Q232" s="34"/>
      <c r="R232" s="49"/>
      <c r="S232" s="61"/>
      <c r="T232" s="62"/>
      <c r="U232" s="57"/>
      <c r="V232" s="58"/>
    </row>
    <row r="233" spans="1:22" s="32" customFormat="1" ht="14.25" customHeight="1">
      <c r="A233" s="59">
        <v>67</v>
      </c>
      <c r="B233" s="60"/>
      <c r="C233" s="61"/>
      <c r="D233" s="62"/>
      <c r="E233" s="52" t="s">
        <v>26</v>
      </c>
      <c r="F233" s="53"/>
      <c r="G233" s="77" t="str">
        <f>LEFT($A$47,15)</f>
        <v>GAN7.820.5607-2</v>
      </c>
      <c r="H233" s="75"/>
      <c r="I233" s="75"/>
      <c r="J233" s="75"/>
      <c r="K233" s="76"/>
      <c r="L233" s="262"/>
      <c r="M233" s="263"/>
      <c r="N233" s="263"/>
      <c r="O233" s="263"/>
      <c r="P233" s="264"/>
      <c r="Q233" s="36">
        <f t="shared" ref="Q233" si="51">LEN(PHONETIC(L233:P233))-LEN(SUBSTITUTE(PHONETIC(L233:P233),",",))+1</f>
        <v>1</v>
      </c>
      <c r="R233" s="49"/>
      <c r="S233" s="61"/>
      <c r="T233" s="62"/>
      <c r="U233" s="57"/>
      <c r="V233" s="58"/>
    </row>
    <row r="234" spans="1:22" s="32" customFormat="1" ht="14.25" customHeight="1">
      <c r="A234" s="59">
        <v>68</v>
      </c>
      <c r="B234" s="60"/>
      <c r="C234" s="61"/>
      <c r="D234" s="62"/>
      <c r="E234" s="71"/>
      <c r="F234" s="53"/>
      <c r="G234" s="54"/>
      <c r="H234" s="55"/>
      <c r="I234" s="55"/>
      <c r="J234" s="55"/>
      <c r="K234" s="56"/>
      <c r="L234" s="79"/>
      <c r="M234" s="80"/>
      <c r="N234" s="80"/>
      <c r="O234" s="80"/>
      <c r="P234" s="81"/>
      <c r="Q234" s="34"/>
      <c r="R234" s="49"/>
      <c r="S234" s="61"/>
      <c r="T234" s="62"/>
      <c r="U234" s="57"/>
      <c r="V234" s="58"/>
    </row>
    <row r="235" spans="1:22" s="32" customFormat="1" ht="14.25" customHeight="1">
      <c r="A235" s="59">
        <v>69</v>
      </c>
      <c r="B235" s="60"/>
      <c r="C235" s="61"/>
      <c r="D235" s="62"/>
      <c r="E235" s="71" t="s">
        <v>321</v>
      </c>
      <c r="F235" s="72"/>
      <c r="G235" s="54"/>
      <c r="H235" s="55"/>
      <c r="I235" s="55"/>
      <c r="J235" s="55"/>
      <c r="K235" s="56"/>
      <c r="L235" s="261"/>
      <c r="M235" s="236"/>
      <c r="N235" s="236"/>
      <c r="O235" s="236"/>
      <c r="P235" s="237"/>
      <c r="Q235" s="34"/>
      <c r="R235" s="49"/>
      <c r="S235" s="61"/>
      <c r="T235" s="62"/>
      <c r="U235" s="57"/>
      <c r="V235" s="58"/>
    </row>
    <row r="236" spans="1:22" s="32" customFormat="1" ht="14.25" customHeight="1">
      <c r="A236" s="59">
        <v>70</v>
      </c>
      <c r="B236" s="60"/>
      <c r="C236" s="61"/>
      <c r="D236" s="62"/>
      <c r="E236" s="103"/>
      <c r="F236" s="104"/>
      <c r="G236" s="284" t="s">
        <v>330</v>
      </c>
      <c r="H236" s="285"/>
      <c r="I236" s="285"/>
      <c r="J236" s="285"/>
      <c r="K236" s="286"/>
      <c r="L236" s="168"/>
      <c r="M236" s="169"/>
      <c r="N236" s="169"/>
      <c r="O236" s="169"/>
      <c r="P236" s="170"/>
      <c r="Q236" s="34"/>
      <c r="R236" s="49"/>
      <c r="S236" s="61"/>
      <c r="T236" s="62"/>
      <c r="U236" s="57"/>
      <c r="V236" s="58"/>
    </row>
    <row r="237" spans="1:22" s="32" customFormat="1" ht="14.25" customHeight="1">
      <c r="A237" s="59">
        <v>71</v>
      </c>
      <c r="B237" s="60"/>
      <c r="C237" s="61"/>
      <c r="D237" s="62"/>
      <c r="E237" s="65" t="s">
        <v>323</v>
      </c>
      <c r="F237" s="66"/>
      <c r="G237" s="54"/>
      <c r="H237" s="55"/>
      <c r="I237" s="55"/>
      <c r="J237" s="55"/>
      <c r="K237" s="56"/>
      <c r="L237" s="287"/>
      <c r="M237" s="169"/>
      <c r="N237" s="169"/>
      <c r="O237" s="169"/>
      <c r="P237" s="170"/>
      <c r="Q237" s="36"/>
      <c r="R237" s="49"/>
      <c r="S237" s="70"/>
      <c r="T237" s="62"/>
      <c r="U237" s="57"/>
      <c r="V237" s="58"/>
    </row>
    <row r="238" spans="1:22" s="32" customFormat="1" ht="14.25" customHeight="1">
      <c r="A238" s="59">
        <v>72</v>
      </c>
      <c r="B238" s="60"/>
      <c r="C238" s="61"/>
      <c r="D238" s="62"/>
      <c r="E238" s="65" t="s">
        <v>24</v>
      </c>
      <c r="F238" s="66"/>
      <c r="G238" s="54" t="s">
        <v>27</v>
      </c>
      <c r="H238" s="55"/>
      <c r="I238" s="55"/>
      <c r="J238" s="55"/>
      <c r="K238" s="56"/>
      <c r="L238" s="287" t="s">
        <v>322</v>
      </c>
      <c r="M238" s="169"/>
      <c r="N238" s="169"/>
      <c r="O238" s="169"/>
      <c r="P238" s="170"/>
      <c r="Q238" s="36">
        <f t="shared" ref="Q238" si="52">LEN(PHONETIC(L238:P238))-LEN(SUBSTITUTE(PHONETIC(L238:P238),",",))+1</f>
        <v>1</v>
      </c>
      <c r="R238" s="49"/>
      <c r="S238" s="70"/>
      <c r="T238" s="62"/>
      <c r="U238" s="57"/>
      <c r="V238" s="58"/>
    </row>
    <row r="239" spans="1:22" s="32" customFormat="1" ht="14.25" customHeight="1">
      <c r="A239" s="59">
        <v>73</v>
      </c>
      <c r="B239" s="60"/>
      <c r="C239" s="61"/>
      <c r="D239" s="62"/>
      <c r="E239" s="87" t="s">
        <v>324</v>
      </c>
      <c r="F239" s="88"/>
      <c r="G239" s="54"/>
      <c r="H239" s="55"/>
      <c r="I239" s="55"/>
      <c r="J239" s="55"/>
      <c r="K239" s="56"/>
      <c r="L239" s="168"/>
      <c r="M239" s="169"/>
      <c r="N239" s="169"/>
      <c r="O239" s="169"/>
      <c r="P239" s="170"/>
      <c r="Q239" s="34"/>
      <c r="R239" s="49"/>
      <c r="S239" s="70"/>
      <c r="T239" s="62"/>
      <c r="U239" s="57"/>
      <c r="V239" s="58"/>
    </row>
    <row r="240" spans="1:22" s="32" customFormat="1" ht="14.25" customHeight="1">
      <c r="A240" s="59">
        <v>74</v>
      </c>
      <c r="B240" s="60"/>
      <c r="C240" s="61"/>
      <c r="D240" s="62"/>
      <c r="E240" s="87"/>
      <c r="F240" s="88"/>
      <c r="G240" s="74" t="s">
        <v>212</v>
      </c>
      <c r="H240" s="75"/>
      <c r="I240" s="75"/>
      <c r="J240" s="75"/>
      <c r="K240" s="76"/>
      <c r="L240" s="105" t="s">
        <v>213</v>
      </c>
      <c r="M240" s="99"/>
      <c r="N240" s="99"/>
      <c r="O240" s="99"/>
      <c r="P240" s="100"/>
      <c r="Q240" s="34">
        <f>LEN(PHONETIC(L240:P240))-LEN(SUBSTITUTE(PHONETIC(L240:P240),",",))+1</f>
        <v>1</v>
      </c>
      <c r="R240" s="49"/>
      <c r="S240" s="70"/>
      <c r="T240" s="62"/>
      <c r="U240" s="57"/>
      <c r="V240" s="58"/>
    </row>
    <row r="241" spans="1:22" s="32" customFormat="1" ht="14.25" customHeight="1">
      <c r="A241" s="59">
        <v>75</v>
      </c>
      <c r="B241" s="60"/>
      <c r="C241" s="61"/>
      <c r="D241" s="62"/>
      <c r="E241" s="78"/>
      <c r="F241" s="53"/>
      <c r="G241" s="74" t="s">
        <v>218</v>
      </c>
      <c r="H241" s="75"/>
      <c r="I241" s="75"/>
      <c r="J241" s="75"/>
      <c r="K241" s="76"/>
      <c r="L241" s="105" t="s">
        <v>219</v>
      </c>
      <c r="M241" s="99"/>
      <c r="N241" s="99"/>
      <c r="O241" s="99"/>
      <c r="P241" s="100"/>
      <c r="Q241" s="34">
        <f>LEN(PHONETIC(L241:P241))-LEN(SUBSTITUTE(PHONETIC(L241:P241),",",))+1</f>
        <v>1</v>
      </c>
      <c r="R241" s="49"/>
      <c r="S241" s="61"/>
      <c r="T241" s="62"/>
      <c r="U241" s="57"/>
      <c r="V241" s="58"/>
    </row>
    <row r="242" spans="1:22" s="32" customFormat="1" ht="14.25" customHeight="1">
      <c r="A242" s="59">
        <v>76</v>
      </c>
      <c r="B242" s="60"/>
      <c r="C242" s="61"/>
      <c r="D242" s="62"/>
      <c r="E242" s="52"/>
      <c r="F242" s="53"/>
      <c r="G242" s="74" t="s">
        <v>222</v>
      </c>
      <c r="H242" s="75"/>
      <c r="I242" s="75"/>
      <c r="J242" s="75"/>
      <c r="K242" s="76"/>
      <c r="L242" s="105" t="s">
        <v>223</v>
      </c>
      <c r="M242" s="99"/>
      <c r="N242" s="99"/>
      <c r="O242" s="99"/>
      <c r="P242" s="100"/>
      <c r="Q242" s="34">
        <f>LEN(PHONETIC(L242:P242))-LEN(SUBSTITUTE(PHONETIC(L242:P242),",",))+1</f>
        <v>1</v>
      </c>
      <c r="R242" s="49"/>
      <c r="S242" s="61"/>
      <c r="T242" s="62"/>
      <c r="U242" s="57"/>
      <c r="V242" s="58"/>
    </row>
    <row r="243" spans="1:22" s="32" customFormat="1" ht="14.25" customHeight="1">
      <c r="A243" s="59">
        <v>77</v>
      </c>
      <c r="B243" s="60"/>
      <c r="C243" s="61"/>
      <c r="D243" s="62"/>
      <c r="E243" s="52" t="s">
        <v>233</v>
      </c>
      <c r="F243" s="53"/>
      <c r="G243" s="74"/>
      <c r="H243" s="75"/>
      <c r="I243" s="75"/>
      <c r="J243" s="75"/>
      <c r="K243" s="76"/>
      <c r="L243" s="105"/>
      <c r="M243" s="108"/>
      <c r="N243" s="108"/>
      <c r="O243" s="108"/>
      <c r="P243" s="58"/>
      <c r="Q243" s="34"/>
      <c r="R243" s="49"/>
      <c r="S243" s="69"/>
      <c r="T243" s="254"/>
      <c r="U243" s="57"/>
      <c r="V243" s="58"/>
    </row>
    <row r="244" spans="1:22" s="32" customFormat="1" ht="14.25" customHeight="1">
      <c r="A244" s="59">
        <v>78</v>
      </c>
      <c r="B244" s="60"/>
      <c r="C244" s="61"/>
      <c r="D244" s="62"/>
      <c r="E244" s="52"/>
      <c r="F244" s="53"/>
      <c r="G244" s="74" t="s">
        <v>234</v>
      </c>
      <c r="H244" s="75"/>
      <c r="I244" s="75"/>
      <c r="J244" s="75"/>
      <c r="K244" s="76"/>
      <c r="L244" s="242" t="s">
        <v>235</v>
      </c>
      <c r="M244" s="243"/>
      <c r="N244" s="243"/>
      <c r="O244" s="243"/>
      <c r="P244" s="244"/>
      <c r="Q244" s="34">
        <f>LEN(PHONETIC(L244:P244))-LEN(SUBSTITUTE(PHONETIC(L244:P244),",",))+1</f>
        <v>1</v>
      </c>
      <c r="R244" s="49"/>
      <c r="S244" s="61"/>
      <c r="T244" s="62"/>
      <c r="U244" s="57"/>
      <c r="V244" s="58"/>
    </row>
    <row r="245" spans="1:22" s="32" customFormat="1" ht="14.25" customHeight="1">
      <c r="A245" s="59">
        <v>79</v>
      </c>
      <c r="B245" s="60"/>
      <c r="C245" s="61"/>
      <c r="D245" s="62"/>
      <c r="E245" s="78"/>
      <c r="F245" s="53"/>
      <c r="G245" s="288" t="s">
        <v>331</v>
      </c>
      <c r="H245" s="289"/>
      <c r="I245" s="289"/>
      <c r="J245" s="289"/>
      <c r="K245" s="290"/>
      <c r="L245" s="105"/>
      <c r="M245" s="99"/>
      <c r="N245" s="99"/>
      <c r="O245" s="99"/>
      <c r="P245" s="100"/>
      <c r="Q245" s="51"/>
      <c r="R245" s="49"/>
      <c r="S245" s="61"/>
      <c r="T245" s="62"/>
      <c r="U245" s="57"/>
      <c r="V245" s="58"/>
    </row>
    <row r="246" spans="1:22" s="32" customFormat="1" ht="14.25" customHeight="1">
      <c r="A246" s="59">
        <v>80</v>
      </c>
      <c r="B246" s="60"/>
      <c r="C246" s="61"/>
      <c r="D246" s="62"/>
      <c r="E246" s="65" t="s">
        <v>323</v>
      </c>
      <c r="F246" s="66"/>
      <c r="G246" s="54"/>
      <c r="H246" s="55"/>
      <c r="I246" s="55"/>
      <c r="J246" s="55"/>
      <c r="K246" s="56"/>
      <c r="L246" s="287"/>
      <c r="M246" s="169"/>
      <c r="N246" s="169"/>
      <c r="O246" s="169"/>
      <c r="P246" s="170"/>
      <c r="Q246" s="36"/>
      <c r="R246" s="49"/>
      <c r="S246" s="61"/>
      <c r="T246" s="62"/>
      <c r="U246" s="57"/>
      <c r="V246" s="58"/>
    </row>
    <row r="247" spans="1:22" s="32" customFormat="1" ht="14.25" customHeight="1">
      <c r="A247" s="59">
        <v>81</v>
      </c>
      <c r="B247" s="60"/>
      <c r="C247" s="61"/>
      <c r="D247" s="62"/>
      <c r="E247" s="65" t="s">
        <v>24</v>
      </c>
      <c r="F247" s="66"/>
      <c r="G247" s="54" t="s">
        <v>27</v>
      </c>
      <c r="H247" s="55"/>
      <c r="I247" s="55"/>
      <c r="J247" s="55"/>
      <c r="K247" s="56"/>
      <c r="L247" s="287" t="s">
        <v>334</v>
      </c>
      <c r="M247" s="169"/>
      <c r="N247" s="169"/>
      <c r="O247" s="169"/>
      <c r="P247" s="170"/>
      <c r="Q247" s="36">
        <f t="shared" ref="Q247" si="53">LEN(PHONETIC(L247:P247))-LEN(SUBSTITUTE(PHONETIC(L247:P247),",",))+1</f>
        <v>1</v>
      </c>
      <c r="R247" s="49"/>
      <c r="S247" s="61"/>
      <c r="T247" s="254"/>
      <c r="U247" s="57"/>
      <c r="V247" s="58"/>
    </row>
    <row r="248" spans="1:22" s="32" customFormat="1" ht="14.25" customHeight="1">
      <c r="A248" s="59">
        <v>82</v>
      </c>
      <c r="B248" s="60"/>
      <c r="C248" s="61"/>
      <c r="D248" s="62"/>
      <c r="E248" s="106" t="s">
        <v>325</v>
      </c>
      <c r="F248" s="107"/>
      <c r="G248" s="77"/>
      <c r="H248" s="75"/>
      <c r="I248" s="75"/>
      <c r="J248" s="75"/>
      <c r="K248" s="76"/>
      <c r="L248" s="57"/>
      <c r="M248" s="99"/>
      <c r="N248" s="99"/>
      <c r="O248" s="99"/>
      <c r="P248" s="100"/>
      <c r="Q248" s="36"/>
      <c r="R248" s="49"/>
      <c r="S248" s="61"/>
      <c r="T248" s="62"/>
      <c r="U248" s="57"/>
      <c r="V248" s="58"/>
    </row>
    <row r="249" spans="1:22" s="32" customFormat="1" ht="14.25" customHeight="1">
      <c r="A249" s="59">
        <v>83</v>
      </c>
      <c r="B249" s="60"/>
      <c r="C249" s="61"/>
      <c r="D249" s="62"/>
      <c r="E249" s="52"/>
      <c r="F249" s="53"/>
      <c r="G249" s="74" t="s">
        <v>251</v>
      </c>
      <c r="H249" s="75"/>
      <c r="I249" s="75"/>
      <c r="J249" s="75"/>
      <c r="K249" s="76"/>
      <c r="L249" s="291" t="s">
        <v>326</v>
      </c>
      <c r="M249" s="263"/>
      <c r="N249" s="263"/>
      <c r="O249" s="263"/>
      <c r="P249" s="264"/>
      <c r="Q249" s="34">
        <f>LEN(PHONETIC(L249:P249))-LEN(SUBSTITUTE(PHONETIC(L249:P249),",",))+1</f>
        <v>1</v>
      </c>
      <c r="R249" s="49"/>
      <c r="S249" s="61"/>
      <c r="T249" s="62"/>
      <c r="U249" s="57"/>
      <c r="V249" s="58"/>
    </row>
    <row r="250" spans="1:22" s="32" customFormat="1" ht="14.25" customHeight="1">
      <c r="A250" s="59">
        <v>84</v>
      </c>
      <c r="B250" s="60"/>
      <c r="C250" s="61"/>
      <c r="D250" s="62"/>
      <c r="E250" s="251"/>
      <c r="F250" s="88"/>
      <c r="G250" s="238"/>
      <c r="H250" s="55"/>
      <c r="I250" s="55"/>
      <c r="J250" s="55"/>
      <c r="K250" s="56"/>
      <c r="L250" s="105"/>
      <c r="M250" s="108"/>
      <c r="N250" s="108"/>
      <c r="O250" s="108"/>
      <c r="P250" s="58"/>
      <c r="Q250" s="36"/>
      <c r="R250" s="49"/>
      <c r="S250" s="61"/>
      <c r="T250" s="62"/>
      <c r="U250" s="57"/>
      <c r="V250" s="58"/>
    </row>
    <row r="251" spans="1:22" s="32" customFormat="1" ht="14.25" customHeight="1">
      <c r="A251" s="59">
        <v>85</v>
      </c>
      <c r="B251" s="60"/>
      <c r="C251" s="61"/>
      <c r="D251" s="62"/>
      <c r="E251" s="95"/>
      <c r="F251" s="96"/>
      <c r="G251" s="74"/>
      <c r="H251" s="75"/>
      <c r="I251" s="75"/>
      <c r="J251" s="75"/>
      <c r="K251" s="76"/>
      <c r="L251" s="105"/>
      <c r="M251" s="108"/>
      <c r="N251" s="108"/>
      <c r="O251" s="108"/>
      <c r="P251" s="58"/>
      <c r="Q251" s="36"/>
      <c r="R251" s="49"/>
      <c r="S251" s="61"/>
      <c r="T251" s="62"/>
      <c r="U251" s="57"/>
      <c r="V251" s="58"/>
    </row>
    <row r="252" spans="1:22" s="32" customFormat="1" ht="14.25" customHeight="1">
      <c r="A252" s="59">
        <v>86</v>
      </c>
      <c r="B252" s="60"/>
      <c r="C252" s="61"/>
      <c r="D252" s="62"/>
      <c r="E252" s="87"/>
      <c r="F252" s="88"/>
      <c r="G252" s="238"/>
      <c r="H252" s="252"/>
      <c r="I252" s="252"/>
      <c r="J252" s="252"/>
      <c r="K252" s="253"/>
      <c r="L252" s="74"/>
      <c r="M252" s="97"/>
      <c r="N252" s="97"/>
      <c r="O252" s="97"/>
      <c r="P252" s="98"/>
      <c r="Q252" s="36"/>
      <c r="R252" s="49"/>
      <c r="S252" s="69"/>
      <c r="T252" s="62"/>
      <c r="U252" s="57"/>
      <c r="V252" s="58"/>
    </row>
    <row r="253" spans="1:22" s="32" customFormat="1" ht="14.25" customHeight="1">
      <c r="A253" s="59">
        <v>87</v>
      </c>
      <c r="B253" s="60"/>
      <c r="C253" s="61"/>
      <c r="D253" s="62"/>
      <c r="E253" s="52"/>
      <c r="F253" s="53"/>
      <c r="G253" s="77"/>
      <c r="H253" s="75"/>
      <c r="I253" s="75"/>
      <c r="J253" s="75"/>
      <c r="K253" s="76"/>
      <c r="L253" s="57"/>
      <c r="M253" s="99"/>
      <c r="N253" s="99"/>
      <c r="O253" s="99"/>
      <c r="P253" s="100"/>
      <c r="Q253" s="34"/>
      <c r="R253" s="49"/>
      <c r="S253" s="69"/>
      <c r="T253" s="62"/>
      <c r="U253" s="57"/>
      <c r="V253" s="58"/>
    </row>
    <row r="254" spans="1:22" s="32" customFormat="1" ht="14.25" customHeight="1" thickBot="1">
      <c r="A254" s="59">
        <v>88</v>
      </c>
      <c r="B254" s="60"/>
      <c r="C254" s="61"/>
      <c r="D254" s="62"/>
      <c r="E254" s="52"/>
      <c r="F254" s="53"/>
      <c r="G254" s="77"/>
      <c r="H254" s="75"/>
      <c r="I254" s="75"/>
      <c r="J254" s="75"/>
      <c r="K254" s="76"/>
      <c r="L254" s="262"/>
      <c r="M254" s="263"/>
      <c r="N254" s="263"/>
      <c r="O254" s="263"/>
      <c r="P254" s="264"/>
      <c r="Q254" s="36"/>
      <c r="R254" s="49"/>
      <c r="S254" s="61"/>
      <c r="T254" s="62"/>
      <c r="U254" s="57"/>
      <c r="V254" s="58"/>
    </row>
    <row r="255" spans="1:22" s="32" customFormat="1" ht="45" customHeight="1" thickTop="1" thickBot="1">
      <c r="A255" s="33" t="str">
        <f>A203</f>
        <v>GAN7.820.5607-2清单</v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4"/>
    </row>
    <row r="256" spans="1:22" s="32" customFormat="1" ht="14.25" customHeight="1" thickTop="1">
      <c r="A256" s="149"/>
      <c r="B256" s="150"/>
      <c r="C256" s="149"/>
      <c r="D256" s="150"/>
      <c r="E256" s="151"/>
      <c r="F256" s="141"/>
      <c r="G256" s="142"/>
      <c r="H256" s="21"/>
      <c r="I256" s="47"/>
      <c r="J256" s="23" t="s">
        <v>11</v>
      </c>
      <c r="K256" s="24" t="s">
        <v>22</v>
      </c>
      <c r="L256" s="141"/>
      <c r="M256" s="143"/>
      <c r="N256" s="142"/>
      <c r="O256" s="128"/>
      <c r="P256" s="129"/>
      <c r="Q256" s="129"/>
      <c r="R256" s="129"/>
      <c r="S256" s="129"/>
      <c r="T256" s="129"/>
      <c r="U256" s="129"/>
      <c r="V256" s="130"/>
    </row>
    <row r="257" spans="1:22" s="32" customFormat="1" ht="14.25" customHeight="1">
      <c r="A257" s="144"/>
      <c r="B257" s="145"/>
      <c r="C257" s="144"/>
      <c r="D257" s="145"/>
      <c r="E257" s="146"/>
      <c r="F257" s="125"/>
      <c r="G257" s="127"/>
      <c r="H257" s="25"/>
      <c r="I257" s="48"/>
      <c r="J257" s="27" t="s">
        <v>12</v>
      </c>
      <c r="K257" s="28" t="s">
        <v>21</v>
      </c>
      <c r="L257" s="125"/>
      <c r="M257" s="126"/>
      <c r="N257" s="127"/>
      <c r="O257" s="131"/>
      <c r="P257" s="132"/>
      <c r="Q257" s="132"/>
      <c r="R257" s="132"/>
      <c r="S257" s="132"/>
      <c r="T257" s="132"/>
      <c r="U257" s="132"/>
      <c r="V257" s="133"/>
    </row>
    <row r="258" spans="1:22" s="32" customFormat="1" ht="14.25" customHeight="1" thickBot="1">
      <c r="A258" s="144"/>
      <c r="B258" s="145"/>
      <c r="C258" s="144"/>
      <c r="D258" s="145"/>
      <c r="E258" s="146"/>
      <c r="F258" s="125"/>
      <c r="G258" s="127"/>
      <c r="H258" s="25"/>
      <c r="I258" s="48"/>
      <c r="J258" s="27" t="s">
        <v>13</v>
      </c>
      <c r="K258" s="28" t="s">
        <v>20</v>
      </c>
      <c r="L258" s="125"/>
      <c r="M258" s="126"/>
      <c r="N258" s="127"/>
      <c r="O258" s="134"/>
      <c r="P258" s="135"/>
      <c r="Q258" s="135"/>
      <c r="R258" s="135"/>
      <c r="S258" s="135"/>
      <c r="T258" s="135"/>
      <c r="U258" s="135"/>
      <c r="V258" s="136"/>
    </row>
    <row r="259" spans="1:22" s="32" customFormat="1" ht="22.5" customHeight="1" thickTop="1" thickBot="1">
      <c r="A259" s="114" t="s">
        <v>14</v>
      </c>
      <c r="B259" s="115"/>
      <c r="C259" s="116" t="s">
        <v>9</v>
      </c>
      <c r="D259" s="117"/>
      <c r="E259" s="118"/>
      <c r="F259" s="5" t="s">
        <v>15</v>
      </c>
      <c r="G259" s="6"/>
      <c r="H259" s="46" t="s">
        <v>16</v>
      </c>
      <c r="I259" s="45" t="s">
        <v>17</v>
      </c>
      <c r="J259" s="9"/>
      <c r="K259" s="10" t="s">
        <v>18</v>
      </c>
      <c r="L259" s="137"/>
      <c r="M259" s="137"/>
      <c r="N259" s="138"/>
      <c r="O259" s="139" t="str">
        <f ca="1">"第  " &amp;纵向当前页&amp; "   页  /  共   "    &amp; 总页数 &amp;      "   页"</f>
        <v>第  5   页  /  共   5   页</v>
      </c>
      <c r="P259" s="139"/>
      <c r="Q259" s="139"/>
      <c r="R259" s="139"/>
      <c r="S259" s="139"/>
      <c r="T259" s="139"/>
      <c r="U259" s="139"/>
      <c r="V259" s="140"/>
    </row>
    <row r="260" spans="1:22" s="11" customFormat="1" ht="16.5" customHeight="1" thickTop="1">
      <c r="A260" s="112" t="s">
        <v>19</v>
      </c>
      <c r="B260" s="112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</row>
  </sheetData>
  <sheetProtection selectLockedCells="1" selectUnlockedCells="1"/>
  <mergeCells count="1638">
    <mergeCell ref="A260:V260"/>
    <mergeCell ref="A256:B256"/>
    <mergeCell ref="C256:E256"/>
    <mergeCell ref="F256:G256"/>
    <mergeCell ref="L256:N256"/>
    <mergeCell ref="O256:V258"/>
    <mergeCell ref="A257:B257"/>
    <mergeCell ref="C257:E257"/>
    <mergeCell ref="F257:G257"/>
    <mergeCell ref="L257:N257"/>
    <mergeCell ref="A258:B258"/>
    <mergeCell ref="C258:E258"/>
    <mergeCell ref="F258:G258"/>
    <mergeCell ref="L258:N258"/>
    <mergeCell ref="A259:B259"/>
    <mergeCell ref="C259:E259"/>
    <mergeCell ref="L259:N259"/>
    <mergeCell ref="O259:V259"/>
    <mergeCell ref="A252:B252"/>
    <mergeCell ref="C252:D252"/>
    <mergeCell ref="E252:F252"/>
    <mergeCell ref="G252:K252"/>
    <mergeCell ref="L252:P252"/>
    <mergeCell ref="S252:T252"/>
    <mergeCell ref="U252:V252"/>
    <mergeCell ref="A253:B253"/>
    <mergeCell ref="C253:D253"/>
    <mergeCell ref="E253:F253"/>
    <mergeCell ref="G253:K253"/>
    <mergeCell ref="L253:P253"/>
    <mergeCell ref="S253:T253"/>
    <mergeCell ref="U253:V253"/>
    <mergeCell ref="A254:B254"/>
    <mergeCell ref="C254:D254"/>
    <mergeCell ref="E254:F254"/>
    <mergeCell ref="G254:K254"/>
    <mergeCell ref="L254:P254"/>
    <mergeCell ref="S254:T254"/>
    <mergeCell ref="U254:V254"/>
    <mergeCell ref="A249:B249"/>
    <mergeCell ref="C249:D249"/>
    <mergeCell ref="E249:F249"/>
    <mergeCell ref="G249:K249"/>
    <mergeCell ref="L249:P249"/>
    <mergeCell ref="S249:T249"/>
    <mergeCell ref="U249:V249"/>
    <mergeCell ref="A250:B250"/>
    <mergeCell ref="C250:D250"/>
    <mergeCell ref="E250:F250"/>
    <mergeCell ref="G250:K250"/>
    <mergeCell ref="L250:P250"/>
    <mergeCell ref="S250:T250"/>
    <mergeCell ref="U250:V250"/>
    <mergeCell ref="A251:B251"/>
    <mergeCell ref="C251:D251"/>
    <mergeCell ref="E251:F251"/>
    <mergeCell ref="G251:K251"/>
    <mergeCell ref="L251:P251"/>
    <mergeCell ref="S251:T251"/>
    <mergeCell ref="U251:V251"/>
    <mergeCell ref="A246:B246"/>
    <mergeCell ref="C246:D246"/>
    <mergeCell ref="E246:F246"/>
    <mergeCell ref="G246:K246"/>
    <mergeCell ref="L246:P246"/>
    <mergeCell ref="S246:T246"/>
    <mergeCell ref="U246:V246"/>
    <mergeCell ref="A247:B247"/>
    <mergeCell ref="C247:D247"/>
    <mergeCell ref="E247:F247"/>
    <mergeCell ref="G247:K247"/>
    <mergeCell ref="L247:P247"/>
    <mergeCell ref="S247:T247"/>
    <mergeCell ref="U247:V247"/>
    <mergeCell ref="A248:B248"/>
    <mergeCell ref="C248:D248"/>
    <mergeCell ref="E248:F248"/>
    <mergeCell ref="G248:K248"/>
    <mergeCell ref="L248:P248"/>
    <mergeCell ref="S248:T248"/>
    <mergeCell ref="U248:V248"/>
    <mergeCell ref="A243:B243"/>
    <mergeCell ref="C243:D243"/>
    <mergeCell ref="E243:F243"/>
    <mergeCell ref="G243:K243"/>
    <mergeCell ref="L243:P243"/>
    <mergeCell ref="S243:T243"/>
    <mergeCell ref="U243:V243"/>
    <mergeCell ref="A244:B244"/>
    <mergeCell ref="C244:D244"/>
    <mergeCell ref="E244:F244"/>
    <mergeCell ref="G244:K244"/>
    <mergeCell ref="L244:P244"/>
    <mergeCell ref="S244:T244"/>
    <mergeCell ref="U244:V244"/>
    <mergeCell ref="A245:B245"/>
    <mergeCell ref="C245:D245"/>
    <mergeCell ref="E245:F245"/>
    <mergeCell ref="G245:K245"/>
    <mergeCell ref="L245:P245"/>
    <mergeCell ref="S245:T245"/>
    <mergeCell ref="U245:V245"/>
    <mergeCell ref="A240:B240"/>
    <mergeCell ref="C240:D240"/>
    <mergeCell ref="E240:F240"/>
    <mergeCell ref="G240:K240"/>
    <mergeCell ref="L240:P240"/>
    <mergeCell ref="S240:T240"/>
    <mergeCell ref="U240:V240"/>
    <mergeCell ref="A241:B241"/>
    <mergeCell ref="C241:D241"/>
    <mergeCell ref="E241:F241"/>
    <mergeCell ref="G241:K241"/>
    <mergeCell ref="L241:P241"/>
    <mergeCell ref="S241:T241"/>
    <mergeCell ref="U241:V241"/>
    <mergeCell ref="A242:B242"/>
    <mergeCell ref="C242:D242"/>
    <mergeCell ref="E242:F242"/>
    <mergeCell ref="G242:K242"/>
    <mergeCell ref="L242:P242"/>
    <mergeCell ref="S242:T242"/>
    <mergeCell ref="U242:V242"/>
    <mergeCell ref="A237:B237"/>
    <mergeCell ref="C237:D237"/>
    <mergeCell ref="E237:F237"/>
    <mergeCell ref="G237:K237"/>
    <mergeCell ref="L237:P237"/>
    <mergeCell ref="S237:T237"/>
    <mergeCell ref="U237:V237"/>
    <mergeCell ref="A238:B238"/>
    <mergeCell ref="C238:D238"/>
    <mergeCell ref="E238:F238"/>
    <mergeCell ref="G238:K238"/>
    <mergeCell ref="L238:P238"/>
    <mergeCell ref="S238:T238"/>
    <mergeCell ref="U238:V238"/>
    <mergeCell ref="A239:B239"/>
    <mergeCell ref="C239:D239"/>
    <mergeCell ref="E239:F239"/>
    <mergeCell ref="G239:K239"/>
    <mergeCell ref="L239:P239"/>
    <mergeCell ref="S239:T239"/>
    <mergeCell ref="U239:V239"/>
    <mergeCell ref="A234:B234"/>
    <mergeCell ref="C234:D234"/>
    <mergeCell ref="E234:F234"/>
    <mergeCell ref="G234:K234"/>
    <mergeCell ref="L234:P234"/>
    <mergeCell ref="S234:T234"/>
    <mergeCell ref="U234:V234"/>
    <mergeCell ref="A235:B235"/>
    <mergeCell ref="C235:D235"/>
    <mergeCell ref="E235:F235"/>
    <mergeCell ref="G235:K235"/>
    <mergeCell ref="L235:P235"/>
    <mergeCell ref="S235:T235"/>
    <mergeCell ref="U235:V235"/>
    <mergeCell ref="A236:B236"/>
    <mergeCell ref="C236:D236"/>
    <mergeCell ref="E236:F236"/>
    <mergeCell ref="G236:K236"/>
    <mergeCell ref="L236:P236"/>
    <mergeCell ref="S236:T236"/>
    <mergeCell ref="U236:V236"/>
    <mergeCell ref="A231:B231"/>
    <mergeCell ref="C231:D231"/>
    <mergeCell ref="E231:F231"/>
    <mergeCell ref="G231:K231"/>
    <mergeCell ref="L231:P231"/>
    <mergeCell ref="S231:T231"/>
    <mergeCell ref="U231:V231"/>
    <mergeCell ref="A232:B232"/>
    <mergeCell ref="C232:D232"/>
    <mergeCell ref="E232:F232"/>
    <mergeCell ref="G232:K232"/>
    <mergeCell ref="L232:P232"/>
    <mergeCell ref="S232:T232"/>
    <mergeCell ref="U232:V232"/>
    <mergeCell ref="A233:B233"/>
    <mergeCell ref="C233:D233"/>
    <mergeCell ref="E233:F233"/>
    <mergeCell ref="G233:K233"/>
    <mergeCell ref="L233:P233"/>
    <mergeCell ref="S233:T233"/>
    <mergeCell ref="U233:V233"/>
    <mergeCell ref="A228:B228"/>
    <mergeCell ref="C228:D228"/>
    <mergeCell ref="E228:F228"/>
    <mergeCell ref="G228:K228"/>
    <mergeCell ref="L228:P228"/>
    <mergeCell ref="S228:T228"/>
    <mergeCell ref="U228:V228"/>
    <mergeCell ref="A229:B229"/>
    <mergeCell ref="C229:D229"/>
    <mergeCell ref="E229:F229"/>
    <mergeCell ref="G229:K229"/>
    <mergeCell ref="L229:P229"/>
    <mergeCell ref="S229:T229"/>
    <mergeCell ref="U229:V229"/>
    <mergeCell ref="A230:B230"/>
    <mergeCell ref="C230:D230"/>
    <mergeCell ref="E230:F230"/>
    <mergeCell ref="G230:K230"/>
    <mergeCell ref="L230:P230"/>
    <mergeCell ref="S230:T230"/>
    <mergeCell ref="U230:V230"/>
    <mergeCell ref="A225:B225"/>
    <mergeCell ref="C225:D225"/>
    <mergeCell ref="E225:F225"/>
    <mergeCell ref="G225:K225"/>
    <mergeCell ref="L225:P225"/>
    <mergeCell ref="S225:T225"/>
    <mergeCell ref="U225:V225"/>
    <mergeCell ref="A226:B226"/>
    <mergeCell ref="C226:D226"/>
    <mergeCell ref="E226:F226"/>
    <mergeCell ref="G226:K226"/>
    <mergeCell ref="L226:P226"/>
    <mergeCell ref="S226:T226"/>
    <mergeCell ref="U226:V226"/>
    <mergeCell ref="A227:B227"/>
    <mergeCell ref="C227:D227"/>
    <mergeCell ref="E227:F227"/>
    <mergeCell ref="G227:K227"/>
    <mergeCell ref="L227:P227"/>
    <mergeCell ref="S227:T227"/>
    <mergeCell ref="U227:V227"/>
    <mergeCell ref="A222:B222"/>
    <mergeCell ref="C222:D222"/>
    <mergeCell ref="E222:F222"/>
    <mergeCell ref="G222:K222"/>
    <mergeCell ref="L222:P222"/>
    <mergeCell ref="S222:T222"/>
    <mergeCell ref="U222:V222"/>
    <mergeCell ref="A223:B223"/>
    <mergeCell ref="C223:D223"/>
    <mergeCell ref="E223:F223"/>
    <mergeCell ref="G223:K223"/>
    <mergeCell ref="L223:P223"/>
    <mergeCell ref="S223:T223"/>
    <mergeCell ref="U223:V223"/>
    <mergeCell ref="A224:B224"/>
    <mergeCell ref="C224:D224"/>
    <mergeCell ref="E224:F224"/>
    <mergeCell ref="G224:K224"/>
    <mergeCell ref="L224:P224"/>
    <mergeCell ref="S224:T224"/>
    <mergeCell ref="U224:V224"/>
    <mergeCell ref="A219:B219"/>
    <mergeCell ref="C219:D219"/>
    <mergeCell ref="E219:F219"/>
    <mergeCell ref="G219:K219"/>
    <mergeCell ref="L219:P219"/>
    <mergeCell ref="S219:T219"/>
    <mergeCell ref="U219:V219"/>
    <mergeCell ref="A220:B220"/>
    <mergeCell ref="C220:D220"/>
    <mergeCell ref="E220:F220"/>
    <mergeCell ref="G220:K220"/>
    <mergeCell ref="L220:P220"/>
    <mergeCell ref="S220:T220"/>
    <mergeCell ref="U220:V220"/>
    <mergeCell ref="A221:B221"/>
    <mergeCell ref="C221:D221"/>
    <mergeCell ref="E221:F221"/>
    <mergeCell ref="G221:K221"/>
    <mergeCell ref="L221:P221"/>
    <mergeCell ref="S221:T221"/>
    <mergeCell ref="U221:V221"/>
    <mergeCell ref="A216:B216"/>
    <mergeCell ref="C216:D216"/>
    <mergeCell ref="E216:F216"/>
    <mergeCell ref="G216:K216"/>
    <mergeCell ref="L216:P216"/>
    <mergeCell ref="S216:T216"/>
    <mergeCell ref="U216:V216"/>
    <mergeCell ref="A217:B217"/>
    <mergeCell ref="C217:D217"/>
    <mergeCell ref="E217:F217"/>
    <mergeCell ref="G217:K217"/>
    <mergeCell ref="L217:P217"/>
    <mergeCell ref="S217:T217"/>
    <mergeCell ref="U217:V217"/>
    <mergeCell ref="A218:B218"/>
    <mergeCell ref="C218:D218"/>
    <mergeCell ref="E218:F218"/>
    <mergeCell ref="G218:K218"/>
    <mergeCell ref="L218:P218"/>
    <mergeCell ref="S218:T218"/>
    <mergeCell ref="U218:V218"/>
    <mergeCell ref="A213:B213"/>
    <mergeCell ref="C213:D213"/>
    <mergeCell ref="E213:F213"/>
    <mergeCell ref="G213:K213"/>
    <mergeCell ref="L213:P213"/>
    <mergeCell ref="S213:T213"/>
    <mergeCell ref="U213:V213"/>
    <mergeCell ref="A214:B214"/>
    <mergeCell ref="C214:D214"/>
    <mergeCell ref="E214:F214"/>
    <mergeCell ref="G214:K214"/>
    <mergeCell ref="L214:P214"/>
    <mergeCell ref="S214:T214"/>
    <mergeCell ref="U214:V214"/>
    <mergeCell ref="A215:B215"/>
    <mergeCell ref="C215:D215"/>
    <mergeCell ref="E215:F215"/>
    <mergeCell ref="G215:K215"/>
    <mergeCell ref="L215:P215"/>
    <mergeCell ref="S215:T215"/>
    <mergeCell ref="U215:V215"/>
    <mergeCell ref="R209:R210"/>
    <mergeCell ref="S209:T210"/>
    <mergeCell ref="U209:V210"/>
    <mergeCell ref="L210:P210"/>
    <mergeCell ref="A211:B211"/>
    <mergeCell ref="C211:D211"/>
    <mergeCell ref="E211:F211"/>
    <mergeCell ref="G211:K211"/>
    <mergeCell ref="L211:P211"/>
    <mergeCell ref="S211:T211"/>
    <mergeCell ref="U211:V211"/>
    <mergeCell ref="A212:B212"/>
    <mergeCell ref="C212:D212"/>
    <mergeCell ref="E212:F212"/>
    <mergeCell ref="G212:K212"/>
    <mergeCell ref="L212:P212"/>
    <mergeCell ref="S212:T212"/>
    <mergeCell ref="U212:V212"/>
    <mergeCell ref="G39:K39"/>
    <mergeCell ref="L39:P39"/>
    <mergeCell ref="G40:K40"/>
    <mergeCell ref="L40:P40"/>
    <mergeCell ref="G41:K41"/>
    <mergeCell ref="L41:P41"/>
    <mergeCell ref="G44:K44"/>
    <mergeCell ref="L44:P44"/>
    <mergeCell ref="G42:K43"/>
    <mergeCell ref="L42:P43"/>
    <mergeCell ref="Q42:Q43"/>
    <mergeCell ref="L56:P58"/>
    <mergeCell ref="Q56:Q58"/>
    <mergeCell ref="G56:K58"/>
    <mergeCell ref="L29:P29"/>
    <mergeCell ref="A209:B210"/>
    <mergeCell ref="C209:D210"/>
    <mergeCell ref="E209:F210"/>
    <mergeCell ref="G209:K210"/>
    <mergeCell ref="L209:Q209"/>
    <mergeCell ref="A207:B207"/>
    <mergeCell ref="C207:E207"/>
    <mergeCell ref="L207:N207"/>
    <mergeCell ref="O207:V207"/>
    <mergeCell ref="A208:V208"/>
    <mergeCell ref="A204:B204"/>
    <mergeCell ref="C204:E204"/>
    <mergeCell ref="F204:G204"/>
    <mergeCell ref="L204:N204"/>
    <mergeCell ref="O204:V206"/>
    <mergeCell ref="A205:B205"/>
    <mergeCell ref="C205:E205"/>
    <mergeCell ref="G25:K25"/>
    <mergeCell ref="L25:P25"/>
    <mergeCell ref="G26:K26"/>
    <mergeCell ref="L26:P26"/>
    <mergeCell ref="L27:P28"/>
    <mergeCell ref="Q27:Q28"/>
    <mergeCell ref="G27:K28"/>
    <mergeCell ref="Q30:Q34"/>
    <mergeCell ref="L30:P34"/>
    <mergeCell ref="G30:K34"/>
    <mergeCell ref="G36:K36"/>
    <mergeCell ref="L36:P36"/>
    <mergeCell ref="L37:P38"/>
    <mergeCell ref="Q37:Q38"/>
    <mergeCell ref="G37:K38"/>
    <mergeCell ref="G16:K16"/>
    <mergeCell ref="L16:P16"/>
    <mergeCell ref="F205:G205"/>
    <mergeCell ref="L205:N205"/>
    <mergeCell ref="A206:B206"/>
    <mergeCell ref="C206:E206"/>
    <mergeCell ref="F206:G206"/>
    <mergeCell ref="L206:N206"/>
    <mergeCell ref="E201:F201"/>
    <mergeCell ref="G201:K201"/>
    <mergeCell ref="L201:P201"/>
    <mergeCell ref="S201:T201"/>
    <mergeCell ref="U201:V201"/>
    <mergeCell ref="A202:B202"/>
    <mergeCell ref="C202:D202"/>
    <mergeCell ref="E202:F202"/>
    <mergeCell ref="G202:K202"/>
    <mergeCell ref="L202:P202"/>
    <mergeCell ref="S202:T202"/>
    <mergeCell ref="U202:V202"/>
    <mergeCell ref="A199:B199"/>
    <mergeCell ref="C199:D199"/>
    <mergeCell ref="E199:F199"/>
    <mergeCell ref="G199:K199"/>
    <mergeCell ref="L199:P199"/>
    <mergeCell ref="S199:T199"/>
    <mergeCell ref="U199:V199"/>
    <mergeCell ref="A200:B200"/>
    <mergeCell ref="C200:D200"/>
    <mergeCell ref="E200:F200"/>
    <mergeCell ref="G200:K200"/>
    <mergeCell ref="L200:P200"/>
    <mergeCell ref="S200:T200"/>
    <mergeCell ref="U200:V200"/>
    <mergeCell ref="A201:B201"/>
    <mergeCell ref="C201:D201"/>
    <mergeCell ref="A197:B197"/>
    <mergeCell ref="C197:D197"/>
    <mergeCell ref="E197:F197"/>
    <mergeCell ref="G197:K197"/>
    <mergeCell ref="L197:P197"/>
    <mergeCell ref="S197:T197"/>
    <mergeCell ref="U197:V197"/>
    <mergeCell ref="A198:B198"/>
    <mergeCell ref="C198:D198"/>
    <mergeCell ref="E198:F198"/>
    <mergeCell ref="G198:K198"/>
    <mergeCell ref="L198:P198"/>
    <mergeCell ref="S198:T198"/>
    <mergeCell ref="U198:V198"/>
    <mergeCell ref="A195:B195"/>
    <mergeCell ref="C195:D195"/>
    <mergeCell ref="E195:F195"/>
    <mergeCell ref="G195:K195"/>
    <mergeCell ref="L195:P195"/>
    <mergeCell ref="S195:T195"/>
    <mergeCell ref="U195:V195"/>
    <mergeCell ref="A196:B196"/>
    <mergeCell ref="C196:D196"/>
    <mergeCell ref="E196:F196"/>
    <mergeCell ref="G196:K196"/>
    <mergeCell ref="L196:P196"/>
    <mergeCell ref="S196:T196"/>
    <mergeCell ref="U196:V196"/>
    <mergeCell ref="A193:B193"/>
    <mergeCell ref="C193:D193"/>
    <mergeCell ref="E193:F193"/>
    <mergeCell ref="G193:K193"/>
    <mergeCell ref="L193:P193"/>
    <mergeCell ref="S193:T193"/>
    <mergeCell ref="U193:V193"/>
    <mergeCell ref="A194:B194"/>
    <mergeCell ref="C194:D194"/>
    <mergeCell ref="E194:F194"/>
    <mergeCell ref="G194:K194"/>
    <mergeCell ref="L194:P194"/>
    <mergeCell ref="S194:T194"/>
    <mergeCell ref="U194:V194"/>
    <mergeCell ref="A191:B191"/>
    <mergeCell ref="C191:D191"/>
    <mergeCell ref="E191:F191"/>
    <mergeCell ref="G191:K191"/>
    <mergeCell ref="L191:P191"/>
    <mergeCell ref="S191:T191"/>
    <mergeCell ref="U191:V191"/>
    <mergeCell ref="A192:B192"/>
    <mergeCell ref="C192:D192"/>
    <mergeCell ref="E192:F192"/>
    <mergeCell ref="G192:K192"/>
    <mergeCell ref="L192:P192"/>
    <mergeCell ref="S192:T192"/>
    <mergeCell ref="U192:V192"/>
    <mergeCell ref="A189:B189"/>
    <mergeCell ref="C189:D189"/>
    <mergeCell ref="E189:F189"/>
    <mergeCell ref="G189:K189"/>
    <mergeCell ref="L189:P189"/>
    <mergeCell ref="S189:T189"/>
    <mergeCell ref="U189:V189"/>
    <mergeCell ref="A190:B190"/>
    <mergeCell ref="C190:D190"/>
    <mergeCell ref="E190:F190"/>
    <mergeCell ref="G190:K190"/>
    <mergeCell ref="L190:P190"/>
    <mergeCell ref="S190:T190"/>
    <mergeCell ref="U190:V190"/>
    <mergeCell ref="A187:B187"/>
    <mergeCell ref="C187:D187"/>
    <mergeCell ref="E187:F187"/>
    <mergeCell ref="G187:K187"/>
    <mergeCell ref="L187:P187"/>
    <mergeCell ref="S187:T187"/>
    <mergeCell ref="U187:V187"/>
    <mergeCell ref="A188:B188"/>
    <mergeCell ref="C188:D188"/>
    <mergeCell ref="E188:F188"/>
    <mergeCell ref="G188:K188"/>
    <mergeCell ref="L188:P188"/>
    <mergeCell ref="S188:T188"/>
    <mergeCell ref="U188:V188"/>
    <mergeCell ref="A185:B185"/>
    <mergeCell ref="C185:D185"/>
    <mergeCell ref="E185:F185"/>
    <mergeCell ref="G185:K185"/>
    <mergeCell ref="S185:T185"/>
    <mergeCell ref="U185:V185"/>
    <mergeCell ref="A186:B186"/>
    <mergeCell ref="C186:D186"/>
    <mergeCell ref="E186:F186"/>
    <mergeCell ref="G186:K186"/>
    <mergeCell ref="S186:T186"/>
    <mergeCell ref="U186:V186"/>
    <mergeCell ref="L185:P185"/>
    <mergeCell ref="L186:P186"/>
    <mergeCell ref="A183:B183"/>
    <mergeCell ref="C183:D183"/>
    <mergeCell ref="E183:F183"/>
    <mergeCell ref="G183:K183"/>
    <mergeCell ref="L183:P183"/>
    <mergeCell ref="S183:T183"/>
    <mergeCell ref="U183:V183"/>
    <mergeCell ref="A184:B184"/>
    <mergeCell ref="C184:D184"/>
    <mergeCell ref="E184:F184"/>
    <mergeCell ref="G184:K184"/>
    <mergeCell ref="L184:P184"/>
    <mergeCell ref="S184:T184"/>
    <mergeCell ref="U184:V184"/>
    <mergeCell ref="A181:B181"/>
    <mergeCell ref="C181:D181"/>
    <mergeCell ref="E181:F181"/>
    <mergeCell ref="G181:K181"/>
    <mergeCell ref="L181:P181"/>
    <mergeCell ref="S181:T181"/>
    <mergeCell ref="U181:V181"/>
    <mergeCell ref="A182:B182"/>
    <mergeCell ref="C182:D182"/>
    <mergeCell ref="E182:F182"/>
    <mergeCell ref="G182:K182"/>
    <mergeCell ref="L182:P182"/>
    <mergeCell ref="S182:T182"/>
    <mergeCell ref="U182:V182"/>
    <mergeCell ref="A179:B179"/>
    <mergeCell ref="C179:D179"/>
    <mergeCell ref="E179:F179"/>
    <mergeCell ref="G179:K179"/>
    <mergeCell ref="L179:P179"/>
    <mergeCell ref="S179:T179"/>
    <mergeCell ref="U179:V179"/>
    <mergeCell ref="A180:B180"/>
    <mergeCell ref="C180:D180"/>
    <mergeCell ref="E180:F180"/>
    <mergeCell ref="G180:K180"/>
    <mergeCell ref="L180:P180"/>
    <mergeCell ref="S180:T180"/>
    <mergeCell ref="U180:V180"/>
    <mergeCell ref="A177:B177"/>
    <mergeCell ref="C177:D177"/>
    <mergeCell ref="E177:F177"/>
    <mergeCell ref="G177:K177"/>
    <mergeCell ref="L177:P177"/>
    <mergeCell ref="S177:T177"/>
    <mergeCell ref="U177:V177"/>
    <mergeCell ref="A178:B178"/>
    <mergeCell ref="C178:D178"/>
    <mergeCell ref="E178:F178"/>
    <mergeCell ref="G178:K178"/>
    <mergeCell ref="L178:P178"/>
    <mergeCell ref="S178:T178"/>
    <mergeCell ref="U178:V178"/>
    <mergeCell ref="A175:B175"/>
    <mergeCell ref="C175:D175"/>
    <mergeCell ref="E175:F175"/>
    <mergeCell ref="G175:K175"/>
    <mergeCell ref="L175:P175"/>
    <mergeCell ref="S175:T175"/>
    <mergeCell ref="U175:V175"/>
    <mergeCell ref="A176:B176"/>
    <mergeCell ref="C176:D176"/>
    <mergeCell ref="E176:F176"/>
    <mergeCell ref="G176:K176"/>
    <mergeCell ref="L176:P176"/>
    <mergeCell ref="S176:T176"/>
    <mergeCell ref="U176:V176"/>
    <mergeCell ref="A173:B173"/>
    <mergeCell ref="C173:D173"/>
    <mergeCell ref="E173:F173"/>
    <mergeCell ref="G173:K173"/>
    <mergeCell ref="L173:P173"/>
    <mergeCell ref="S173:T173"/>
    <mergeCell ref="U173:V173"/>
    <mergeCell ref="A174:B174"/>
    <mergeCell ref="C174:D174"/>
    <mergeCell ref="E174:F174"/>
    <mergeCell ref="G174:K174"/>
    <mergeCell ref="L174:P174"/>
    <mergeCell ref="S174:T174"/>
    <mergeCell ref="U174:V174"/>
    <mergeCell ref="A171:B171"/>
    <mergeCell ref="C171:D171"/>
    <mergeCell ref="E171:F171"/>
    <mergeCell ref="G171:K171"/>
    <mergeCell ref="L171:P171"/>
    <mergeCell ref="S171:T171"/>
    <mergeCell ref="U171:V171"/>
    <mergeCell ref="A172:B172"/>
    <mergeCell ref="C172:D172"/>
    <mergeCell ref="E172:F172"/>
    <mergeCell ref="G172:K172"/>
    <mergeCell ref="L172:P172"/>
    <mergeCell ref="S172:T172"/>
    <mergeCell ref="U172:V172"/>
    <mergeCell ref="A169:B169"/>
    <mergeCell ref="C169:D169"/>
    <mergeCell ref="E169:F169"/>
    <mergeCell ref="G169:K169"/>
    <mergeCell ref="L169:P169"/>
    <mergeCell ref="S169:T169"/>
    <mergeCell ref="U169:V169"/>
    <mergeCell ref="A170:B170"/>
    <mergeCell ref="C170:D170"/>
    <mergeCell ref="E170:F170"/>
    <mergeCell ref="G170:K170"/>
    <mergeCell ref="L170:P170"/>
    <mergeCell ref="S170:T170"/>
    <mergeCell ref="U170:V170"/>
    <mergeCell ref="A167:B167"/>
    <mergeCell ref="C167:D167"/>
    <mergeCell ref="E167:F167"/>
    <mergeCell ref="G167:K167"/>
    <mergeCell ref="L167:P167"/>
    <mergeCell ref="S167:T167"/>
    <mergeCell ref="U167:V167"/>
    <mergeCell ref="A168:B168"/>
    <mergeCell ref="C168:D168"/>
    <mergeCell ref="E168:F168"/>
    <mergeCell ref="G168:K168"/>
    <mergeCell ref="L168:P168"/>
    <mergeCell ref="S168:T168"/>
    <mergeCell ref="U168:V168"/>
    <mergeCell ref="A165:B165"/>
    <mergeCell ref="C165:D165"/>
    <mergeCell ref="E165:F165"/>
    <mergeCell ref="G165:K165"/>
    <mergeCell ref="L165:P165"/>
    <mergeCell ref="S165:T165"/>
    <mergeCell ref="U165:V165"/>
    <mergeCell ref="A166:B166"/>
    <mergeCell ref="C166:D166"/>
    <mergeCell ref="E166:F166"/>
    <mergeCell ref="G166:K166"/>
    <mergeCell ref="L166:P166"/>
    <mergeCell ref="S166:T166"/>
    <mergeCell ref="U166:V166"/>
    <mergeCell ref="A163:B163"/>
    <mergeCell ref="C163:D163"/>
    <mergeCell ref="E163:F163"/>
    <mergeCell ref="G163:K163"/>
    <mergeCell ref="L163:P163"/>
    <mergeCell ref="S163:T163"/>
    <mergeCell ref="U163:V163"/>
    <mergeCell ref="A164:B164"/>
    <mergeCell ref="C164:D164"/>
    <mergeCell ref="E164:F164"/>
    <mergeCell ref="G164:K164"/>
    <mergeCell ref="L164:P164"/>
    <mergeCell ref="S164:T164"/>
    <mergeCell ref="U164:V164"/>
    <mergeCell ref="A161:B161"/>
    <mergeCell ref="C161:D161"/>
    <mergeCell ref="E161:F161"/>
    <mergeCell ref="G161:K161"/>
    <mergeCell ref="L161:P161"/>
    <mergeCell ref="S161:T161"/>
    <mergeCell ref="U161:V161"/>
    <mergeCell ref="A162:B162"/>
    <mergeCell ref="C162:D162"/>
    <mergeCell ref="E162:F162"/>
    <mergeCell ref="G162:K162"/>
    <mergeCell ref="L162:P162"/>
    <mergeCell ref="S162:T162"/>
    <mergeCell ref="U162:V162"/>
    <mergeCell ref="A159:B159"/>
    <mergeCell ref="C159:D159"/>
    <mergeCell ref="E159:F159"/>
    <mergeCell ref="G159:K159"/>
    <mergeCell ref="L159:P159"/>
    <mergeCell ref="S159:T159"/>
    <mergeCell ref="U159:V159"/>
    <mergeCell ref="A160:B160"/>
    <mergeCell ref="C160:D160"/>
    <mergeCell ref="E160:F160"/>
    <mergeCell ref="G160:K160"/>
    <mergeCell ref="L160:P160"/>
    <mergeCell ref="S160:T160"/>
    <mergeCell ref="U160:V160"/>
    <mergeCell ref="A157:B158"/>
    <mergeCell ref="C157:D158"/>
    <mergeCell ref="E157:F158"/>
    <mergeCell ref="G157:K158"/>
    <mergeCell ref="L157:Q157"/>
    <mergeCell ref="R157:R158"/>
    <mergeCell ref="S157:T158"/>
    <mergeCell ref="U157:V158"/>
    <mergeCell ref="L158:P158"/>
    <mergeCell ref="A155:B155"/>
    <mergeCell ref="C155:E155"/>
    <mergeCell ref="L155:N155"/>
    <mergeCell ref="O155:V155"/>
    <mergeCell ref="A156:V156"/>
    <mergeCell ref="G135:K135"/>
    <mergeCell ref="L135:P135"/>
    <mergeCell ref="S135:T135"/>
    <mergeCell ref="G136:K136"/>
    <mergeCell ref="L136:P136"/>
    <mergeCell ref="S136:T136"/>
    <mergeCell ref="G139:K139"/>
    <mergeCell ref="L139:P139"/>
    <mergeCell ref="G140:K140"/>
    <mergeCell ref="L140:P140"/>
    <mergeCell ref="A150:B150"/>
    <mergeCell ref="C150:D150"/>
    <mergeCell ref="E150:F150"/>
    <mergeCell ref="G150:K150"/>
    <mergeCell ref="L150:P150"/>
    <mergeCell ref="S150:T150"/>
    <mergeCell ref="U150:V150"/>
    <mergeCell ref="A152:B152"/>
    <mergeCell ref="C152:E152"/>
    <mergeCell ref="F152:G152"/>
    <mergeCell ref="L152:N152"/>
    <mergeCell ref="O152:V154"/>
    <mergeCell ref="A153:B153"/>
    <mergeCell ref="C153:E153"/>
    <mergeCell ref="F153:G153"/>
    <mergeCell ref="L153:N153"/>
    <mergeCell ref="A154:B154"/>
    <mergeCell ref="C154:E154"/>
    <mergeCell ref="F154:G154"/>
    <mergeCell ref="L154:N154"/>
    <mergeCell ref="A148:B148"/>
    <mergeCell ref="C148:D148"/>
    <mergeCell ref="E148:F148"/>
    <mergeCell ref="G148:K148"/>
    <mergeCell ref="L148:P148"/>
    <mergeCell ref="S148:T148"/>
    <mergeCell ref="U148:V148"/>
    <mergeCell ref="A149:B149"/>
    <mergeCell ref="C149:D149"/>
    <mergeCell ref="E149:F149"/>
    <mergeCell ref="G149:K149"/>
    <mergeCell ref="L149:P149"/>
    <mergeCell ref="S149:T149"/>
    <mergeCell ref="U149:V149"/>
    <mergeCell ref="A146:B146"/>
    <mergeCell ref="C146:D146"/>
    <mergeCell ref="E146:F146"/>
    <mergeCell ref="G146:K146"/>
    <mergeCell ref="L146:P146"/>
    <mergeCell ref="S146:T146"/>
    <mergeCell ref="U146:V146"/>
    <mergeCell ref="A147:B147"/>
    <mergeCell ref="C147:D147"/>
    <mergeCell ref="E147:F147"/>
    <mergeCell ref="G147:K147"/>
    <mergeCell ref="L147:P147"/>
    <mergeCell ref="S147:T147"/>
    <mergeCell ref="U147:V147"/>
    <mergeCell ref="A144:B144"/>
    <mergeCell ref="C144:D144"/>
    <mergeCell ref="E144:F144"/>
    <mergeCell ref="G144:K144"/>
    <mergeCell ref="L144:P144"/>
    <mergeCell ref="S144:T144"/>
    <mergeCell ref="U144:V144"/>
    <mergeCell ref="A145:B145"/>
    <mergeCell ref="C145:D145"/>
    <mergeCell ref="E145:F145"/>
    <mergeCell ref="G145:K145"/>
    <mergeCell ref="L145:P145"/>
    <mergeCell ref="S145:T145"/>
    <mergeCell ref="U145:V145"/>
    <mergeCell ref="A142:B142"/>
    <mergeCell ref="C142:D142"/>
    <mergeCell ref="E142:F142"/>
    <mergeCell ref="S142:T142"/>
    <mergeCell ref="U142:V142"/>
    <mergeCell ref="A143:B143"/>
    <mergeCell ref="C143:D143"/>
    <mergeCell ref="E143:F143"/>
    <mergeCell ref="G143:K143"/>
    <mergeCell ref="L143:P143"/>
    <mergeCell ref="S143:T143"/>
    <mergeCell ref="U143:V143"/>
    <mergeCell ref="A139:B139"/>
    <mergeCell ref="C139:D139"/>
    <mergeCell ref="E139:F139"/>
    <mergeCell ref="S139:T139"/>
    <mergeCell ref="U139:V139"/>
    <mergeCell ref="A140:B140"/>
    <mergeCell ref="C140:D140"/>
    <mergeCell ref="E140:F140"/>
    <mergeCell ref="S140:T140"/>
    <mergeCell ref="U140:V140"/>
    <mergeCell ref="A141:B141"/>
    <mergeCell ref="C141:D141"/>
    <mergeCell ref="E141:F141"/>
    <mergeCell ref="S141:T141"/>
    <mergeCell ref="U141:V141"/>
    <mergeCell ref="L141:P142"/>
    <mergeCell ref="Q141:Q142"/>
    <mergeCell ref="G141:K142"/>
    <mergeCell ref="A137:B137"/>
    <mergeCell ref="C137:D137"/>
    <mergeCell ref="E137:F137"/>
    <mergeCell ref="G137:K137"/>
    <mergeCell ref="L137:P137"/>
    <mergeCell ref="S137:T137"/>
    <mergeCell ref="U137:V137"/>
    <mergeCell ref="A138:B138"/>
    <mergeCell ref="C138:D138"/>
    <mergeCell ref="E138:F138"/>
    <mergeCell ref="G138:K138"/>
    <mergeCell ref="L138:P138"/>
    <mergeCell ref="S138:T138"/>
    <mergeCell ref="U138:V138"/>
    <mergeCell ref="A135:B135"/>
    <mergeCell ref="C135:D135"/>
    <mergeCell ref="E135:F135"/>
    <mergeCell ref="U135:V135"/>
    <mergeCell ref="A136:B136"/>
    <mergeCell ref="C136:D136"/>
    <mergeCell ref="E136:F136"/>
    <mergeCell ref="U136:V136"/>
    <mergeCell ref="A133:B133"/>
    <mergeCell ref="C133:D133"/>
    <mergeCell ref="E133:F133"/>
    <mergeCell ref="G133:K133"/>
    <mergeCell ref="L133:P133"/>
    <mergeCell ref="S133:T133"/>
    <mergeCell ref="U133:V133"/>
    <mergeCell ref="A134:B134"/>
    <mergeCell ref="C134:D134"/>
    <mergeCell ref="E134:F134"/>
    <mergeCell ref="G134:K134"/>
    <mergeCell ref="L134:P134"/>
    <mergeCell ref="S134:T134"/>
    <mergeCell ref="U134:V134"/>
    <mergeCell ref="A131:B131"/>
    <mergeCell ref="C131:D131"/>
    <mergeCell ref="E131:F131"/>
    <mergeCell ref="G131:K131"/>
    <mergeCell ref="L131:P131"/>
    <mergeCell ref="S131:T131"/>
    <mergeCell ref="U131:V131"/>
    <mergeCell ref="A132:B132"/>
    <mergeCell ref="C132:D132"/>
    <mergeCell ref="E132:F132"/>
    <mergeCell ref="G132:K132"/>
    <mergeCell ref="L132:P132"/>
    <mergeCell ref="S132:T132"/>
    <mergeCell ref="U132:V132"/>
    <mergeCell ref="A129:B129"/>
    <mergeCell ref="C129:D129"/>
    <mergeCell ref="E129:F129"/>
    <mergeCell ref="G129:K129"/>
    <mergeCell ref="L129:P129"/>
    <mergeCell ref="S129:T129"/>
    <mergeCell ref="U129:V129"/>
    <mergeCell ref="A130:B130"/>
    <mergeCell ref="C130:D130"/>
    <mergeCell ref="E130:F130"/>
    <mergeCell ref="G130:K130"/>
    <mergeCell ref="L130:P130"/>
    <mergeCell ref="S130:T130"/>
    <mergeCell ref="U130:V130"/>
    <mergeCell ref="A127:B127"/>
    <mergeCell ref="C127:D127"/>
    <mergeCell ref="E127:F127"/>
    <mergeCell ref="G127:K127"/>
    <mergeCell ref="L127:P127"/>
    <mergeCell ref="S127:T127"/>
    <mergeCell ref="U127:V127"/>
    <mergeCell ref="A128:B128"/>
    <mergeCell ref="C128:D128"/>
    <mergeCell ref="E128:F128"/>
    <mergeCell ref="G128:K128"/>
    <mergeCell ref="L128:P128"/>
    <mergeCell ref="S128:T128"/>
    <mergeCell ref="U128:V128"/>
    <mergeCell ref="A125:B125"/>
    <mergeCell ref="C125:D125"/>
    <mergeCell ref="E125:F125"/>
    <mergeCell ref="G125:K125"/>
    <mergeCell ref="L125:P125"/>
    <mergeCell ref="S125:T125"/>
    <mergeCell ref="U125:V125"/>
    <mergeCell ref="A126:B126"/>
    <mergeCell ref="C126:D126"/>
    <mergeCell ref="E126:F126"/>
    <mergeCell ref="G126:K126"/>
    <mergeCell ref="L126:P126"/>
    <mergeCell ref="S126:T126"/>
    <mergeCell ref="U126:V126"/>
    <mergeCell ref="A123:B123"/>
    <mergeCell ref="C123:D123"/>
    <mergeCell ref="E123:F123"/>
    <mergeCell ref="S123:T123"/>
    <mergeCell ref="U123:V123"/>
    <mergeCell ref="A124:B124"/>
    <mergeCell ref="C124:D124"/>
    <mergeCell ref="E124:F124"/>
    <mergeCell ref="G124:K124"/>
    <mergeCell ref="L124:P124"/>
    <mergeCell ref="S124:T124"/>
    <mergeCell ref="U124:V124"/>
    <mergeCell ref="L122:P123"/>
    <mergeCell ref="G122:K123"/>
    <mergeCell ref="Q122:Q123"/>
    <mergeCell ref="A121:B121"/>
    <mergeCell ref="C121:D121"/>
    <mergeCell ref="E121:F121"/>
    <mergeCell ref="S121:T121"/>
    <mergeCell ref="U121:V121"/>
    <mergeCell ref="A122:B122"/>
    <mergeCell ref="C122:D122"/>
    <mergeCell ref="E122:F122"/>
    <mergeCell ref="S122:T122"/>
    <mergeCell ref="U122:V122"/>
    <mergeCell ref="A119:B119"/>
    <mergeCell ref="C119:D119"/>
    <mergeCell ref="E119:F119"/>
    <mergeCell ref="G119:K119"/>
    <mergeCell ref="L119:P119"/>
    <mergeCell ref="S119:T119"/>
    <mergeCell ref="U119:V119"/>
    <mergeCell ref="A120:B120"/>
    <mergeCell ref="C120:D120"/>
    <mergeCell ref="E120:F120"/>
    <mergeCell ref="S120:T120"/>
    <mergeCell ref="U120:V120"/>
    <mergeCell ref="L120:P121"/>
    <mergeCell ref="Q120:Q121"/>
    <mergeCell ref="G120:K121"/>
    <mergeCell ref="A117:B117"/>
    <mergeCell ref="C117:D117"/>
    <mergeCell ref="E117:F117"/>
    <mergeCell ref="G117:K117"/>
    <mergeCell ref="L117:P117"/>
    <mergeCell ref="S117:T117"/>
    <mergeCell ref="U117:V117"/>
    <mergeCell ref="A118:B118"/>
    <mergeCell ref="C118:D118"/>
    <mergeCell ref="E118:F118"/>
    <mergeCell ref="G118:K118"/>
    <mergeCell ref="L118:P118"/>
    <mergeCell ref="S118:T118"/>
    <mergeCell ref="U118:V118"/>
    <mergeCell ref="A115:B115"/>
    <mergeCell ref="C115:D115"/>
    <mergeCell ref="E115:F115"/>
    <mergeCell ref="S115:T115"/>
    <mergeCell ref="U115:V115"/>
    <mergeCell ref="A116:B116"/>
    <mergeCell ref="C116:D116"/>
    <mergeCell ref="E116:F116"/>
    <mergeCell ref="G116:K116"/>
    <mergeCell ref="L116:P116"/>
    <mergeCell ref="S116:T116"/>
    <mergeCell ref="U116:V116"/>
    <mergeCell ref="L113:P115"/>
    <mergeCell ref="Q113:Q115"/>
    <mergeCell ref="G113:K115"/>
    <mergeCell ref="A113:B113"/>
    <mergeCell ref="C113:D113"/>
    <mergeCell ref="E113:F113"/>
    <mergeCell ref="S113:T113"/>
    <mergeCell ref="U113:V113"/>
    <mergeCell ref="A114:B114"/>
    <mergeCell ref="C114:D114"/>
    <mergeCell ref="E114:F114"/>
    <mergeCell ref="S114:T114"/>
    <mergeCell ref="U114:V114"/>
    <mergeCell ref="A111:B111"/>
    <mergeCell ref="C111:D111"/>
    <mergeCell ref="E111:F111"/>
    <mergeCell ref="G111:K111"/>
    <mergeCell ref="L111:P111"/>
    <mergeCell ref="S111:T111"/>
    <mergeCell ref="U111:V111"/>
    <mergeCell ref="A112:B112"/>
    <mergeCell ref="C112:D112"/>
    <mergeCell ref="E112:F112"/>
    <mergeCell ref="G112:K112"/>
    <mergeCell ref="L112:P112"/>
    <mergeCell ref="S112:T112"/>
    <mergeCell ref="U112:V112"/>
    <mergeCell ref="A110:B110"/>
    <mergeCell ref="C110:D110"/>
    <mergeCell ref="E110:F110"/>
    <mergeCell ref="G110:K110"/>
    <mergeCell ref="L110:P110"/>
    <mergeCell ref="S110:T110"/>
    <mergeCell ref="U110:V110"/>
    <mergeCell ref="A107:B107"/>
    <mergeCell ref="C107:D107"/>
    <mergeCell ref="E107:F107"/>
    <mergeCell ref="G107:K107"/>
    <mergeCell ref="L107:P107"/>
    <mergeCell ref="S107:T107"/>
    <mergeCell ref="U107:V107"/>
    <mergeCell ref="A108:B108"/>
    <mergeCell ref="C108:D108"/>
    <mergeCell ref="E108:F108"/>
    <mergeCell ref="G108:K108"/>
    <mergeCell ref="L108:P108"/>
    <mergeCell ref="S108:T108"/>
    <mergeCell ref="U108:V108"/>
    <mergeCell ref="S96:T96"/>
    <mergeCell ref="U96:V96"/>
    <mergeCell ref="A109:B109"/>
    <mergeCell ref="C109:D109"/>
    <mergeCell ref="E109:F109"/>
    <mergeCell ref="G109:K109"/>
    <mergeCell ref="L109:P109"/>
    <mergeCell ref="S109:T109"/>
    <mergeCell ref="U109:V109"/>
    <mergeCell ref="L68:P68"/>
    <mergeCell ref="A105:B106"/>
    <mergeCell ref="C105:D106"/>
    <mergeCell ref="E105:F106"/>
    <mergeCell ref="G105:K106"/>
    <mergeCell ref="L105:Q105"/>
    <mergeCell ref="R105:R106"/>
    <mergeCell ref="S105:T106"/>
    <mergeCell ref="U105:V106"/>
    <mergeCell ref="L77:P78"/>
    <mergeCell ref="G77:K78"/>
    <mergeCell ref="Q77:Q78"/>
    <mergeCell ref="G83:K83"/>
    <mergeCell ref="L83:P83"/>
    <mergeCell ref="G84:K84"/>
    <mergeCell ref="L84:P84"/>
    <mergeCell ref="G87:K88"/>
    <mergeCell ref="L87:P88"/>
    <mergeCell ref="Q87:Q88"/>
    <mergeCell ref="L89:P90"/>
    <mergeCell ref="G89:K90"/>
    <mergeCell ref="Q89:Q90"/>
    <mergeCell ref="G81:K81"/>
    <mergeCell ref="S59:T59"/>
    <mergeCell ref="U59:V59"/>
    <mergeCell ref="U58:V58"/>
    <mergeCell ref="S66:T66"/>
    <mergeCell ref="U66:V66"/>
    <mergeCell ref="S65:T65"/>
    <mergeCell ref="A57:B57"/>
    <mergeCell ref="A56:B56"/>
    <mergeCell ref="A95:B95"/>
    <mergeCell ref="C95:D95"/>
    <mergeCell ref="L61:P65"/>
    <mergeCell ref="Q61:Q65"/>
    <mergeCell ref="L81:P81"/>
    <mergeCell ref="C62:D62"/>
    <mergeCell ref="E62:F62"/>
    <mergeCell ref="A61:B61"/>
    <mergeCell ref="C61:D61"/>
    <mergeCell ref="E61:F61"/>
    <mergeCell ref="A60:B60"/>
    <mergeCell ref="E71:F71"/>
    <mergeCell ref="L95:P95"/>
    <mergeCell ref="S95:T95"/>
    <mergeCell ref="U95:V95"/>
    <mergeCell ref="E56:F56"/>
    <mergeCell ref="G61:K65"/>
    <mergeCell ref="E95:F95"/>
    <mergeCell ref="G95:K95"/>
    <mergeCell ref="E74:F74"/>
    <mergeCell ref="S74:T74"/>
    <mergeCell ref="O51:V51"/>
    <mergeCell ref="F50:G50"/>
    <mergeCell ref="L48:N48"/>
    <mergeCell ref="S55:T55"/>
    <mergeCell ref="S35:T35"/>
    <mergeCell ref="U39:V39"/>
    <mergeCell ref="S38:T38"/>
    <mergeCell ref="L46:P46"/>
    <mergeCell ref="G46:K46"/>
    <mergeCell ref="L106:P106"/>
    <mergeCell ref="E60:F60"/>
    <mergeCell ref="S60:T60"/>
    <mergeCell ref="U60:V60"/>
    <mergeCell ref="S57:T57"/>
    <mergeCell ref="S45:T45"/>
    <mergeCell ref="L45:P45"/>
    <mergeCell ref="G45:K45"/>
    <mergeCell ref="G53:K54"/>
    <mergeCell ref="S53:T54"/>
    <mergeCell ref="G59:K59"/>
    <mergeCell ref="L59:P59"/>
    <mergeCell ref="S58:T58"/>
    <mergeCell ref="S62:T62"/>
    <mergeCell ref="U62:V62"/>
    <mergeCell ref="S61:T61"/>
    <mergeCell ref="U61:V61"/>
    <mergeCell ref="L60:P60"/>
    <mergeCell ref="S77:T77"/>
    <mergeCell ref="G85:K85"/>
    <mergeCell ref="L85:P85"/>
    <mergeCell ref="S42:T42"/>
    <mergeCell ref="G72:K72"/>
    <mergeCell ref="U42:V42"/>
    <mergeCell ref="S41:T41"/>
    <mergeCell ref="U41:V41"/>
    <mergeCell ref="U45:V45"/>
    <mergeCell ref="E67:F67"/>
    <mergeCell ref="A58:B58"/>
    <mergeCell ref="C58:D58"/>
    <mergeCell ref="E58:F58"/>
    <mergeCell ref="C28:D28"/>
    <mergeCell ref="E27:F27"/>
    <mergeCell ref="A22:B22"/>
    <mergeCell ref="A23:B23"/>
    <mergeCell ref="C23:D23"/>
    <mergeCell ref="E28:F28"/>
    <mergeCell ref="A64:B64"/>
    <mergeCell ref="E59:F59"/>
    <mergeCell ref="G60:K60"/>
    <mergeCell ref="C59:D59"/>
    <mergeCell ref="U65:V65"/>
    <mergeCell ref="E30:F30"/>
    <mergeCell ref="E31:F31"/>
    <mergeCell ref="E29:F29"/>
    <mergeCell ref="A42:B42"/>
    <mergeCell ref="C42:D42"/>
    <mergeCell ref="C29:D29"/>
    <mergeCell ref="L51:N51"/>
    <mergeCell ref="F48:G48"/>
    <mergeCell ref="E55:F55"/>
    <mergeCell ref="E44:F44"/>
    <mergeCell ref="F49:G49"/>
    <mergeCell ref="C56:D56"/>
    <mergeCell ref="A62:B62"/>
    <mergeCell ref="C22:D22"/>
    <mergeCell ref="A26:B26"/>
    <mergeCell ref="E46:F46"/>
    <mergeCell ref="C46:D46"/>
    <mergeCell ref="C30:D30"/>
    <mergeCell ref="C32:D32"/>
    <mergeCell ref="C51:E51"/>
    <mergeCell ref="C57:D57"/>
    <mergeCell ref="E57:F57"/>
    <mergeCell ref="A24:B24"/>
    <mergeCell ref="A31:B31"/>
    <mergeCell ref="A32:B32"/>
    <mergeCell ref="E43:F43"/>
    <mergeCell ref="C43:D43"/>
    <mergeCell ref="E40:F40"/>
    <mergeCell ref="A25:B25"/>
    <mergeCell ref="A27:B27"/>
    <mergeCell ref="A28:B28"/>
    <mergeCell ref="A29:B29"/>
    <mergeCell ref="A30:B30"/>
    <mergeCell ref="C39:D39"/>
    <mergeCell ref="E39:F39"/>
    <mergeCell ref="C55:D55"/>
    <mergeCell ref="A48:B48"/>
    <mergeCell ref="A49:B49"/>
    <mergeCell ref="A50:B50"/>
    <mergeCell ref="C53:D54"/>
    <mergeCell ref="E53:F54"/>
    <mergeCell ref="C31:D31"/>
    <mergeCell ref="C27:D27"/>
    <mergeCell ref="C50:E50"/>
    <mergeCell ref="C38:D38"/>
    <mergeCell ref="U10:V10"/>
    <mergeCell ref="U6:V6"/>
    <mergeCell ref="U8:V8"/>
    <mergeCell ref="S16:T16"/>
    <mergeCell ref="A74:B74"/>
    <mergeCell ref="C33:D33"/>
    <mergeCell ref="C34:D34"/>
    <mergeCell ref="A43:B43"/>
    <mergeCell ref="A36:B36"/>
    <mergeCell ref="A39:B39"/>
    <mergeCell ref="A41:B41"/>
    <mergeCell ref="A53:B54"/>
    <mergeCell ref="A44:B44"/>
    <mergeCell ref="A59:B59"/>
    <mergeCell ref="A51:B51"/>
    <mergeCell ref="C48:E48"/>
    <mergeCell ref="C49:E49"/>
    <mergeCell ref="A33:B33"/>
    <mergeCell ref="A34:B34"/>
    <mergeCell ref="A35:B35"/>
    <mergeCell ref="A40:B40"/>
    <mergeCell ref="A38:B38"/>
    <mergeCell ref="E42:F42"/>
    <mergeCell ref="C41:D41"/>
    <mergeCell ref="E41:F41"/>
    <mergeCell ref="C40:D40"/>
    <mergeCell ref="A46:B46"/>
    <mergeCell ref="E45:F45"/>
    <mergeCell ref="C45:D45"/>
    <mergeCell ref="E22:F22"/>
    <mergeCell ref="C24:D24"/>
    <mergeCell ref="A45:B45"/>
    <mergeCell ref="A19:B19"/>
    <mergeCell ref="L10:P10"/>
    <mergeCell ref="L9:P9"/>
    <mergeCell ref="S20:T20"/>
    <mergeCell ref="A4:B4"/>
    <mergeCell ref="C4:D4"/>
    <mergeCell ref="A12:B12"/>
    <mergeCell ref="A13:B13"/>
    <mergeCell ref="A17:B17"/>
    <mergeCell ref="C17:D17"/>
    <mergeCell ref="E19:F19"/>
    <mergeCell ref="E20:F20"/>
    <mergeCell ref="C6:D6"/>
    <mergeCell ref="C8:D8"/>
    <mergeCell ref="A21:B21"/>
    <mergeCell ref="E14:F14"/>
    <mergeCell ref="E15:F15"/>
    <mergeCell ref="E16:F16"/>
    <mergeCell ref="C15:D15"/>
    <mergeCell ref="A15:B15"/>
    <mergeCell ref="A16:B16"/>
    <mergeCell ref="A18:B18"/>
    <mergeCell ref="C18:D18"/>
    <mergeCell ref="C16:D16"/>
    <mergeCell ref="C14:D14"/>
    <mergeCell ref="C10:D10"/>
    <mergeCell ref="C19:D19"/>
    <mergeCell ref="A10:B10"/>
    <mergeCell ref="A14:B14"/>
    <mergeCell ref="A6:B6"/>
    <mergeCell ref="C21:D21"/>
    <mergeCell ref="L13:P15"/>
    <mergeCell ref="U21:V21"/>
    <mergeCell ref="U33:V33"/>
    <mergeCell ref="S33:T33"/>
    <mergeCell ref="G4:K4"/>
    <mergeCell ref="S18:T18"/>
    <mergeCell ref="S19:T19"/>
    <mergeCell ref="S7:T7"/>
    <mergeCell ref="U7:V7"/>
    <mergeCell ref="U14:V14"/>
    <mergeCell ref="S14:T14"/>
    <mergeCell ref="L17:P17"/>
    <mergeCell ref="U15:V15"/>
    <mergeCell ref="U31:V31"/>
    <mergeCell ref="U32:V32"/>
    <mergeCell ref="S29:T29"/>
    <mergeCell ref="U28:V28"/>
    <mergeCell ref="U26:V26"/>
    <mergeCell ref="S26:T26"/>
    <mergeCell ref="U11:V11"/>
    <mergeCell ref="U13:V13"/>
    <mergeCell ref="S13:T13"/>
    <mergeCell ref="U23:V23"/>
    <mergeCell ref="U22:V22"/>
    <mergeCell ref="U30:V30"/>
    <mergeCell ref="S30:T30"/>
    <mergeCell ref="U29:V29"/>
    <mergeCell ref="L11:P11"/>
    <mergeCell ref="L12:P12"/>
    <mergeCell ref="S17:T17"/>
    <mergeCell ref="L7:P7"/>
    <mergeCell ref="G8:K8"/>
    <mergeCell ref="L8:P8"/>
    <mergeCell ref="C25:D25"/>
    <mergeCell ref="S4:T4"/>
    <mergeCell ref="U4:V4"/>
    <mergeCell ref="S6:T6"/>
    <mergeCell ref="S8:T8"/>
    <mergeCell ref="S9:T9"/>
    <mergeCell ref="S11:T11"/>
    <mergeCell ref="S12:T12"/>
    <mergeCell ref="A3:B3"/>
    <mergeCell ref="A1:B2"/>
    <mergeCell ref="C3:D3"/>
    <mergeCell ref="U3:V3"/>
    <mergeCell ref="S1:T2"/>
    <mergeCell ref="E3:F3"/>
    <mergeCell ref="L3:P3"/>
    <mergeCell ref="S3:T3"/>
    <mergeCell ref="C1:D2"/>
    <mergeCell ref="C5:D5"/>
    <mergeCell ref="A5:B5"/>
    <mergeCell ref="E9:F9"/>
    <mergeCell ref="G9:K9"/>
    <mergeCell ref="C11:D11"/>
    <mergeCell ref="A11:B11"/>
    <mergeCell ref="U9:V9"/>
    <mergeCell ref="C9:D9"/>
    <mergeCell ref="A9:B9"/>
    <mergeCell ref="A8:B8"/>
    <mergeCell ref="C7:D7"/>
    <mergeCell ref="A7:B7"/>
    <mergeCell ref="S10:T10"/>
    <mergeCell ref="C20:D20"/>
    <mergeCell ref="G7:K7"/>
    <mergeCell ref="U38:V38"/>
    <mergeCell ref="S15:T15"/>
    <mergeCell ref="U24:V24"/>
    <mergeCell ref="U18:V18"/>
    <mergeCell ref="U19:V19"/>
    <mergeCell ref="U20:V20"/>
    <mergeCell ref="U25:V25"/>
    <mergeCell ref="U27:V27"/>
    <mergeCell ref="S24:T24"/>
    <mergeCell ref="S25:T25"/>
    <mergeCell ref="S27:T27"/>
    <mergeCell ref="E11:F11"/>
    <mergeCell ref="E12:F12"/>
    <mergeCell ref="E13:F13"/>
    <mergeCell ref="E18:F18"/>
    <mergeCell ref="E17:F17"/>
    <mergeCell ref="S28:T28"/>
    <mergeCell ref="U17:V17"/>
    <mergeCell ref="G11:K11"/>
    <mergeCell ref="U16:V16"/>
    <mergeCell ref="E38:F38"/>
    <mergeCell ref="Q13:Q15"/>
    <mergeCell ref="G13:K15"/>
    <mergeCell ref="L19:P21"/>
    <mergeCell ref="Q19:Q21"/>
    <mergeCell ref="G19:K21"/>
    <mergeCell ref="G22:K22"/>
    <mergeCell ref="L22:P22"/>
    <mergeCell ref="G23:K23"/>
    <mergeCell ref="L23:P23"/>
    <mergeCell ref="G24:K24"/>
    <mergeCell ref="L24:P24"/>
    <mergeCell ref="E37:F37"/>
    <mergeCell ref="S37:T37"/>
    <mergeCell ref="U37:V37"/>
    <mergeCell ref="E32:F32"/>
    <mergeCell ref="E33:F33"/>
    <mergeCell ref="E34:F34"/>
    <mergeCell ref="E35:F35"/>
    <mergeCell ref="E21:F21"/>
    <mergeCell ref="U74:V74"/>
    <mergeCell ref="G76:K76"/>
    <mergeCell ref="U82:V82"/>
    <mergeCell ref="U88:V88"/>
    <mergeCell ref="L49:N49"/>
    <mergeCell ref="L50:N50"/>
    <mergeCell ref="O48:V50"/>
    <mergeCell ref="U43:V43"/>
    <mergeCell ref="S43:T43"/>
    <mergeCell ref="S32:T32"/>
    <mergeCell ref="S31:T31"/>
    <mergeCell ref="E23:F23"/>
    <mergeCell ref="E24:F24"/>
    <mergeCell ref="E25:F25"/>
    <mergeCell ref="G29:K29"/>
    <mergeCell ref="S39:T39"/>
    <mergeCell ref="U53:V54"/>
    <mergeCell ref="L53:Q53"/>
    <mergeCell ref="R53:R54"/>
    <mergeCell ref="G55:K55"/>
    <mergeCell ref="L54:P54"/>
    <mergeCell ref="U76:V76"/>
    <mergeCell ref="U77:V77"/>
    <mergeCell ref="L72:P72"/>
    <mergeCell ref="A55:B55"/>
    <mergeCell ref="R1:R2"/>
    <mergeCell ref="U1:V2"/>
    <mergeCell ref="A52:V52"/>
    <mergeCell ref="S21:T21"/>
    <mergeCell ref="S22:T22"/>
    <mergeCell ref="S23:T23"/>
    <mergeCell ref="E1:F2"/>
    <mergeCell ref="L55:P55"/>
    <mergeCell ref="G1:K2"/>
    <mergeCell ref="L2:P2"/>
    <mergeCell ref="L4:P4"/>
    <mergeCell ref="G5:K5"/>
    <mergeCell ref="L5:P5"/>
    <mergeCell ref="E6:F6"/>
    <mergeCell ref="E8:F8"/>
    <mergeCell ref="E5:F5"/>
    <mergeCell ref="G6:K6"/>
    <mergeCell ref="E4:F4"/>
    <mergeCell ref="L6:P6"/>
    <mergeCell ref="E7:F7"/>
    <mergeCell ref="L1:Q1"/>
    <mergeCell ref="S36:T36"/>
    <mergeCell ref="U36:V36"/>
    <mergeCell ref="A37:B37"/>
    <mergeCell ref="C37:D37"/>
    <mergeCell ref="S46:T46"/>
    <mergeCell ref="L18:P18"/>
    <mergeCell ref="L35:P35"/>
    <mergeCell ref="U5:V5"/>
    <mergeCell ref="S5:T5"/>
    <mergeCell ref="A20:B20"/>
    <mergeCell ref="A102:B102"/>
    <mergeCell ref="C102:E102"/>
    <mergeCell ref="U55:V55"/>
    <mergeCell ref="U67:V67"/>
    <mergeCell ref="U56:V56"/>
    <mergeCell ref="U57:V57"/>
    <mergeCell ref="G70:K70"/>
    <mergeCell ref="L70:P70"/>
    <mergeCell ref="S70:T70"/>
    <mergeCell ref="U70:V70"/>
    <mergeCell ref="S56:T56"/>
    <mergeCell ref="S69:T69"/>
    <mergeCell ref="U69:V69"/>
    <mergeCell ref="S68:T68"/>
    <mergeCell ref="A66:B66"/>
    <mergeCell ref="C66:D66"/>
    <mergeCell ref="E66:F66"/>
    <mergeCell ref="A100:B100"/>
    <mergeCell ref="C100:E100"/>
    <mergeCell ref="A97:B97"/>
    <mergeCell ref="C97:D97"/>
    <mergeCell ref="E97:F97"/>
    <mergeCell ref="G97:K97"/>
    <mergeCell ref="L97:P97"/>
    <mergeCell ref="S97:T97"/>
    <mergeCell ref="U97:V97"/>
    <mergeCell ref="G96:K96"/>
    <mergeCell ref="A96:B96"/>
    <mergeCell ref="C96:D96"/>
    <mergeCell ref="E96:F96"/>
    <mergeCell ref="L96:P96"/>
    <mergeCell ref="A67:B67"/>
    <mergeCell ref="C60:D60"/>
    <mergeCell ref="A104:V104"/>
    <mergeCell ref="A103:B103"/>
    <mergeCell ref="C103:E103"/>
    <mergeCell ref="S98:T98"/>
    <mergeCell ref="U98:V98"/>
    <mergeCell ref="A98:B98"/>
    <mergeCell ref="C98:D98"/>
    <mergeCell ref="E98:F98"/>
    <mergeCell ref="G98:K98"/>
    <mergeCell ref="L98:P98"/>
    <mergeCell ref="L102:N102"/>
    <mergeCell ref="O100:V102"/>
    <mergeCell ref="F101:G101"/>
    <mergeCell ref="L101:N101"/>
    <mergeCell ref="F102:G102"/>
    <mergeCell ref="L103:N103"/>
    <mergeCell ref="O103:V103"/>
    <mergeCell ref="F100:G100"/>
    <mergeCell ref="L100:N100"/>
    <mergeCell ref="A101:B101"/>
    <mergeCell ref="C101:E101"/>
    <mergeCell ref="U64:V64"/>
    <mergeCell ref="A65:B65"/>
    <mergeCell ref="C65:D65"/>
    <mergeCell ref="E65:F65"/>
    <mergeCell ref="A72:B72"/>
    <mergeCell ref="C72:D72"/>
    <mergeCell ref="E72:F72"/>
    <mergeCell ref="S72:T72"/>
    <mergeCell ref="U72:V72"/>
    <mergeCell ref="A68:B68"/>
    <mergeCell ref="C68:D68"/>
    <mergeCell ref="E68:F68"/>
    <mergeCell ref="A69:B69"/>
    <mergeCell ref="C69:D69"/>
    <mergeCell ref="E69:F69"/>
    <mergeCell ref="A71:B71"/>
    <mergeCell ref="A70:B70"/>
    <mergeCell ref="C70:D70"/>
    <mergeCell ref="E70:F70"/>
    <mergeCell ref="C71:D71"/>
    <mergeCell ref="C63:D63"/>
    <mergeCell ref="E63:F63"/>
    <mergeCell ref="S63:T63"/>
    <mergeCell ref="U63:V63"/>
    <mergeCell ref="C64:D64"/>
    <mergeCell ref="E64:F64"/>
    <mergeCell ref="S64:T64"/>
    <mergeCell ref="G71:K71"/>
    <mergeCell ref="L71:P71"/>
    <mergeCell ref="A63:B63"/>
    <mergeCell ref="G66:K66"/>
    <mergeCell ref="L66:P66"/>
    <mergeCell ref="S67:T67"/>
    <mergeCell ref="U68:V68"/>
    <mergeCell ref="L69:P69"/>
    <mergeCell ref="C67:D67"/>
    <mergeCell ref="G67:K67"/>
    <mergeCell ref="G68:K68"/>
    <mergeCell ref="G69:K69"/>
    <mergeCell ref="L67:P67"/>
    <mergeCell ref="S71:T71"/>
    <mergeCell ref="U71:V71"/>
    <mergeCell ref="A75:B75"/>
    <mergeCell ref="C75:D75"/>
    <mergeCell ref="E75:F75"/>
    <mergeCell ref="G75:K75"/>
    <mergeCell ref="L75:P75"/>
    <mergeCell ref="S75:T75"/>
    <mergeCell ref="U75:V75"/>
    <mergeCell ref="S73:T73"/>
    <mergeCell ref="U73:V73"/>
    <mergeCell ref="C74:D74"/>
    <mergeCell ref="A73:B73"/>
    <mergeCell ref="C73:D73"/>
    <mergeCell ref="E73:F73"/>
    <mergeCell ref="G73:K73"/>
    <mergeCell ref="L73:P73"/>
    <mergeCell ref="G74:K74"/>
    <mergeCell ref="L74:P74"/>
    <mergeCell ref="A76:B76"/>
    <mergeCell ref="C76:D76"/>
    <mergeCell ref="E76:F76"/>
    <mergeCell ref="L76:P76"/>
    <mergeCell ref="S76:T76"/>
    <mergeCell ref="E79:F79"/>
    <mergeCell ref="S79:T79"/>
    <mergeCell ref="G82:K82"/>
    <mergeCell ref="A80:B80"/>
    <mergeCell ref="C80:D80"/>
    <mergeCell ref="E80:F80"/>
    <mergeCell ref="G80:K80"/>
    <mergeCell ref="L80:P80"/>
    <mergeCell ref="S80:T80"/>
    <mergeCell ref="A78:B78"/>
    <mergeCell ref="C78:D78"/>
    <mergeCell ref="E78:F78"/>
    <mergeCell ref="S78:T78"/>
    <mergeCell ref="A79:B79"/>
    <mergeCell ref="A81:B81"/>
    <mergeCell ref="C81:D81"/>
    <mergeCell ref="E81:F81"/>
    <mergeCell ref="G91:K91"/>
    <mergeCell ref="L91:P91"/>
    <mergeCell ref="S91:T91"/>
    <mergeCell ref="C79:D79"/>
    <mergeCell ref="A77:B77"/>
    <mergeCell ref="C77:D77"/>
    <mergeCell ref="E77:F77"/>
    <mergeCell ref="G79:K79"/>
    <mergeCell ref="L79:P79"/>
    <mergeCell ref="C82:D82"/>
    <mergeCell ref="E82:F82"/>
    <mergeCell ref="L82:P82"/>
    <mergeCell ref="S82:T82"/>
    <mergeCell ref="U89:V89"/>
    <mergeCell ref="A88:B88"/>
    <mergeCell ref="C88:D88"/>
    <mergeCell ref="E88:F88"/>
    <mergeCell ref="S88:T88"/>
    <mergeCell ref="A89:B89"/>
    <mergeCell ref="C89:D89"/>
    <mergeCell ref="E89:F89"/>
    <mergeCell ref="A91:B91"/>
    <mergeCell ref="A94:B94"/>
    <mergeCell ref="C94:D94"/>
    <mergeCell ref="E94:F94"/>
    <mergeCell ref="G94:K94"/>
    <mergeCell ref="L94:P94"/>
    <mergeCell ref="S94:T94"/>
    <mergeCell ref="U94:V94"/>
    <mergeCell ref="L92:P92"/>
    <mergeCell ref="S92:T92"/>
    <mergeCell ref="U92:V92"/>
    <mergeCell ref="A93:B93"/>
    <mergeCell ref="C93:D93"/>
    <mergeCell ref="E93:F93"/>
    <mergeCell ref="G93:K93"/>
    <mergeCell ref="L93:P93"/>
    <mergeCell ref="S93:T93"/>
    <mergeCell ref="U93:V93"/>
    <mergeCell ref="A92:B92"/>
    <mergeCell ref="C92:D92"/>
    <mergeCell ref="E92:F92"/>
    <mergeCell ref="G92:K92"/>
    <mergeCell ref="C91:D91"/>
    <mergeCell ref="S81:T81"/>
    <mergeCell ref="U81:V81"/>
    <mergeCell ref="A90:B90"/>
    <mergeCell ref="C90:D90"/>
    <mergeCell ref="E90:F90"/>
    <mergeCell ref="S90:T90"/>
    <mergeCell ref="U90:V90"/>
    <mergeCell ref="A86:B86"/>
    <mergeCell ref="C86:D86"/>
    <mergeCell ref="E86:F86"/>
    <mergeCell ref="G86:K86"/>
    <mergeCell ref="L86:P86"/>
    <mergeCell ref="S86:T86"/>
    <mergeCell ref="U86:V86"/>
    <mergeCell ref="A82:B82"/>
    <mergeCell ref="C84:D84"/>
    <mergeCell ref="E84:F84"/>
    <mergeCell ref="C87:D87"/>
    <mergeCell ref="E87:F87"/>
    <mergeCell ref="S87:T87"/>
    <mergeCell ref="U87:V87"/>
    <mergeCell ref="A83:B83"/>
    <mergeCell ref="C83:D83"/>
    <mergeCell ref="E85:F85"/>
    <mergeCell ref="S83:T84"/>
    <mergeCell ref="S85:T85"/>
    <mergeCell ref="U85:V85"/>
    <mergeCell ref="U84:V84"/>
    <mergeCell ref="E83:F83"/>
    <mergeCell ref="A84:B84"/>
    <mergeCell ref="U83:V83"/>
    <mergeCell ref="E10:F10"/>
    <mergeCell ref="G10:K10"/>
    <mergeCell ref="G17:K17"/>
    <mergeCell ref="G18:K18"/>
    <mergeCell ref="U91:V91"/>
    <mergeCell ref="A85:B85"/>
    <mergeCell ref="C85:D85"/>
    <mergeCell ref="E26:F26"/>
    <mergeCell ref="C26:D26"/>
    <mergeCell ref="C13:D13"/>
    <mergeCell ref="U12:V12"/>
    <mergeCell ref="G12:K12"/>
    <mergeCell ref="C12:D12"/>
    <mergeCell ref="U44:V44"/>
    <mergeCell ref="S44:T44"/>
    <mergeCell ref="C44:D44"/>
    <mergeCell ref="C35:D35"/>
    <mergeCell ref="U34:V34"/>
    <mergeCell ref="S34:T34"/>
    <mergeCell ref="C36:D36"/>
    <mergeCell ref="E36:F36"/>
    <mergeCell ref="U35:V35"/>
    <mergeCell ref="S40:T40"/>
    <mergeCell ref="U40:V40"/>
    <mergeCell ref="G35:K35"/>
    <mergeCell ref="A87:B87"/>
    <mergeCell ref="U46:V46"/>
    <mergeCell ref="U80:V80"/>
    <mergeCell ref="U79:V79"/>
    <mergeCell ref="U78:V78"/>
    <mergeCell ref="S89:T89"/>
    <mergeCell ref="E91:F91"/>
  </mergeCells>
  <phoneticPr fontId="14" type="noConversion"/>
  <printOptions horizontalCentered="1" verticalCentered="1"/>
  <pageMargins left="0.31496062992125984" right="0.27559055118110237" top="0.27559055118110237" bottom="0.19685039370078741" header="7.874015748031496E-2" footer="0.19685039370078741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2"/>
  <sheetData/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xbany</cp:lastModifiedBy>
  <cp:lastPrinted>2018-12-17T05:05:35Z</cp:lastPrinted>
  <dcterms:created xsi:type="dcterms:W3CDTF">2000-10-27T00:30:29Z</dcterms:created>
  <dcterms:modified xsi:type="dcterms:W3CDTF">2019-04-21T12:56:27Z</dcterms:modified>
</cp:coreProperties>
</file>